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dbbff8860976323f/Desktop/DATA analytics/excel/"/>
    </mc:Choice>
  </mc:AlternateContent>
  <xr:revisionPtr revIDLastSave="1" documentId="8_{8FFE15F4-D0FC-45D0-ADBD-B18C5DDE9A22}" xr6:coauthVersionLast="47" xr6:coauthVersionMax="47" xr10:uidLastSave="{3FCC1334-A832-4B93-9FF1-0C3659EC7DBE}"/>
  <bookViews>
    <workbookView xWindow="-108" yWindow="-108" windowWidth="23256" windowHeight="12456" activeTab="1" xr2:uid="{CDB29E6A-50A7-4CF2-B7AD-DAF10CEC4670}"/>
  </bookViews>
  <sheets>
    <sheet name="Records" sheetId="1" r:id="rId1"/>
    <sheet name="Dashboard 2" sheetId="5" r:id="rId2"/>
    <sheet name="Dashboard" sheetId="2" r:id="rId3"/>
    <sheet name="Pivot" sheetId="4" r:id="rId4"/>
    <sheet name="Detail1" sheetId="6" r:id="rId5"/>
  </sheets>
  <definedNames>
    <definedName name="Slicer_Month">#N/A</definedName>
  </definedNames>
  <calcPr calcId="191029"/>
  <pivotCaches>
    <pivotCache cacheId="3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0" i="4" l="1"/>
  <c r="R11" i="4"/>
  <c r="R9" i="4"/>
  <c r="R8" i="4"/>
  <c r="R6" i="4"/>
  <c r="F25" i="2"/>
  <c r="F27" i="2"/>
  <c r="F26" i="2"/>
  <c r="P11" i="2"/>
  <c r="C86" i="1"/>
  <c r="F86" i="1"/>
  <c r="C85" i="1"/>
  <c r="F85" i="1"/>
  <c r="C84" i="1"/>
  <c r="F84" i="1"/>
  <c r="C83" i="1"/>
  <c r="F83" i="1"/>
  <c r="P12" i="2"/>
  <c r="P13" i="2"/>
  <c r="P14" i="2"/>
  <c r="P15" i="2"/>
  <c r="P16" i="2"/>
  <c r="M12" i="2"/>
  <c r="M11" i="2"/>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17" i="1"/>
  <c r="F18" i="1"/>
  <c r="F19" i="1"/>
  <c r="F20" i="1"/>
  <c r="F21" i="1"/>
  <c r="F22" i="1"/>
  <c r="F23" i="1"/>
  <c r="F24" i="1"/>
  <c r="C14" i="1"/>
  <c r="C15" i="1"/>
  <c r="C16" i="1"/>
  <c r="C17" i="1"/>
  <c r="C18" i="1"/>
  <c r="C19" i="1"/>
  <c r="C20" i="1"/>
  <c r="C21" i="1"/>
  <c r="C22" i="1"/>
  <c r="C23" i="1"/>
  <c r="C24" i="1"/>
  <c r="F14" i="1"/>
  <c r="F15" i="1"/>
  <c r="F16" i="1"/>
  <c r="C13" i="1"/>
  <c r="F13" i="1"/>
  <c r="C12" i="1"/>
  <c r="F12" i="1"/>
  <c r="C11" i="1"/>
  <c r="F11" i="1"/>
  <c r="C10" i="1"/>
  <c r="F10" i="1"/>
  <c r="C9" i="1"/>
  <c r="F9" i="1"/>
  <c r="F8" i="1"/>
  <c r="C8" i="1"/>
  <c r="C7" i="1"/>
  <c r="F7" i="1"/>
  <c r="C6" i="1"/>
  <c r="F6" i="1"/>
  <c r="F5" i="1"/>
  <c r="C5" i="1"/>
  <c r="R7" i="4"/>
  <c r="F11" i="2" l="1"/>
  <c r="C17" i="2"/>
  <c r="F18" i="2"/>
  <c r="C20" i="2"/>
  <c r="C16" i="2"/>
  <c r="C12" i="2"/>
  <c r="F9" i="2"/>
  <c r="F17" i="2"/>
  <c r="F13" i="2"/>
  <c r="C9" i="2"/>
  <c r="C13" i="2"/>
  <c r="F14" i="2"/>
  <c r="C19" i="2"/>
  <c r="C15" i="2"/>
  <c r="C11" i="2"/>
  <c r="F20" i="2"/>
  <c r="I20" i="2" s="1"/>
  <c r="F16" i="2"/>
  <c r="I16" i="2" s="1"/>
  <c r="F12" i="2"/>
  <c r="I12" i="2" s="1"/>
  <c r="F10" i="2"/>
  <c r="C18" i="2"/>
  <c r="C14" i="2"/>
  <c r="C10" i="2"/>
  <c r="F19" i="2"/>
  <c r="F15" i="2"/>
  <c r="I17" i="2" l="1"/>
  <c r="I11" i="2"/>
  <c r="I15" i="2"/>
  <c r="I10" i="2"/>
  <c r="I14" i="2"/>
  <c r="I19" i="2"/>
  <c r="F21" i="2"/>
  <c r="I18" i="2"/>
  <c r="I9" i="2"/>
  <c r="C21" i="2"/>
  <c r="C4" i="2" s="1"/>
  <c r="F4" i="2"/>
  <c r="I13" i="2"/>
  <c r="I21" i="2" l="1"/>
  <c r="I4" i="2"/>
</calcChain>
</file>

<file path=xl/sharedStrings.xml><?xml version="1.0" encoding="utf-8"?>
<sst xmlns="http://schemas.openxmlformats.org/spreadsheetml/2006/main" count="253" uniqueCount="48">
  <si>
    <t>Income &amp; Expense</t>
  </si>
  <si>
    <t>Date</t>
  </si>
  <si>
    <t>Month</t>
  </si>
  <si>
    <t>Amount</t>
  </si>
  <si>
    <t xml:space="preserve">Item </t>
  </si>
  <si>
    <t>Category</t>
  </si>
  <si>
    <t>Remark</t>
  </si>
  <si>
    <t>Salary</t>
  </si>
  <si>
    <t>Rent Income</t>
  </si>
  <si>
    <t>Income</t>
  </si>
  <si>
    <t>Shopping</t>
  </si>
  <si>
    <t>Food</t>
  </si>
  <si>
    <t>Fuel</t>
  </si>
  <si>
    <t>Transpotation</t>
  </si>
  <si>
    <t>Health</t>
  </si>
  <si>
    <t>Expense</t>
  </si>
  <si>
    <t>Entertainment</t>
  </si>
  <si>
    <t>Personal Finance Dashboard</t>
  </si>
  <si>
    <t>YTD Income</t>
  </si>
  <si>
    <t>Income &amp; Expense - Monthly Breakdown</t>
  </si>
  <si>
    <t xml:space="preserve">  Income</t>
  </si>
  <si>
    <t>January</t>
  </si>
  <si>
    <t>February</t>
  </si>
  <si>
    <t>March</t>
  </si>
  <si>
    <t>April</t>
  </si>
  <si>
    <t>May</t>
  </si>
  <si>
    <t>June</t>
  </si>
  <si>
    <t>July</t>
  </si>
  <si>
    <t>August</t>
  </si>
  <si>
    <t>September</t>
  </si>
  <si>
    <t>October</t>
  </si>
  <si>
    <t>November</t>
  </si>
  <si>
    <t>December</t>
  </si>
  <si>
    <t>Average</t>
  </si>
  <si>
    <t xml:space="preserve">  Expense</t>
  </si>
  <si>
    <t xml:space="preserve">  Savings</t>
  </si>
  <si>
    <t>YTD Savings</t>
  </si>
  <si>
    <t>YTD Expense</t>
  </si>
  <si>
    <t>Income &amp; Exspense -Item wise Breakdown</t>
  </si>
  <si>
    <t>Grand Total</t>
  </si>
  <si>
    <t>Sum of Amount</t>
  </si>
  <si>
    <t>Total</t>
  </si>
  <si>
    <t>(All)</t>
  </si>
  <si>
    <t>Total Income</t>
  </si>
  <si>
    <t>Total Expense</t>
  </si>
  <si>
    <t>Item wise Expense</t>
  </si>
  <si>
    <t>Details for Sum of Amount - Month: July, Category: Expense</t>
  </si>
  <si>
    <t>Income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</si>
</sst>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1"/>
      <name val="Calibri"/>
      <family val="2"/>
      <scheme val="minor"/>
    </font>
  </fonts>
  <fills count="9">
    <fill>
      <patternFill patternType="none"/>
    </fill>
    <fill>
      <patternFill patternType="gray125"/>
    </fill>
    <fill>
      <patternFill patternType="solid">
        <fgColor theme="8" tint="-0.249977111117893"/>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theme="2"/>
        <bgColor indexed="64"/>
      </patternFill>
    </fill>
    <fill>
      <patternFill patternType="solid">
        <fgColor theme="4" tint="-0.249977111117893"/>
        <bgColor indexed="64"/>
      </patternFill>
    </fill>
  </fills>
  <borders count="7">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3">
    <xf numFmtId="0" fontId="0" fillId="0" borderId="0" xfId="0"/>
    <xf numFmtId="14" fontId="0" fillId="0" borderId="0" xfId="0" applyNumberFormat="1"/>
    <xf numFmtId="3" fontId="0" fillId="0" borderId="0" xfId="0" applyNumberFormat="1"/>
    <xf numFmtId="164" fontId="4" fillId="5" borderId="0" xfId="0" applyNumberFormat="1" applyFont="1" applyFill="1"/>
    <xf numFmtId="164" fontId="4" fillId="2" borderId="0" xfId="0" applyNumberFormat="1" applyFont="1" applyFill="1"/>
    <xf numFmtId="164" fontId="2" fillId="4" borderId="0" xfId="0" applyNumberFormat="1" applyFont="1" applyFill="1"/>
    <xf numFmtId="0" fontId="0" fillId="0" borderId="1" xfId="0" applyBorder="1"/>
    <xf numFmtId="164" fontId="0" fillId="0" borderId="2" xfId="1" applyNumberFormat="1" applyFont="1" applyBorder="1"/>
    <xf numFmtId="164" fontId="0" fillId="0" borderId="4" xfId="1" applyNumberFormat="1" applyFont="1" applyBorder="1"/>
    <xf numFmtId="0" fontId="0" fillId="0" borderId="5" xfId="0" applyBorder="1"/>
    <xf numFmtId="164" fontId="3" fillId="0" borderId="6" xfId="1" applyNumberFormat="1" applyFont="1" applyBorder="1"/>
    <xf numFmtId="0" fontId="0" fillId="0" borderId="3" xfId="0" applyBorder="1"/>
    <xf numFmtId="0" fontId="2" fillId="5" borderId="5" xfId="0" applyFont="1" applyFill="1" applyBorder="1" applyAlignment="1">
      <alignment horizontal="center"/>
    </xf>
    <xf numFmtId="0" fontId="2" fillId="5" borderId="6" xfId="0" applyFont="1" applyFill="1" applyBorder="1" applyAlignment="1">
      <alignment horizontal="center"/>
    </xf>
    <xf numFmtId="0" fontId="6" fillId="6" borderId="0" xfId="0" applyFont="1" applyFill="1" applyAlignment="1">
      <alignment horizontal="left"/>
    </xf>
    <xf numFmtId="0" fontId="0" fillId="7" borderId="5" xfId="0" applyFill="1" applyBorder="1" applyAlignment="1">
      <alignment horizontal="center"/>
    </xf>
    <xf numFmtId="0" fontId="0" fillId="7" borderId="6" xfId="0" applyFill="1" applyBorder="1" applyAlignment="1">
      <alignment horizontal="center"/>
    </xf>
    <xf numFmtId="0" fontId="6" fillId="3" borderId="0" xfId="0" applyFont="1" applyFill="1" applyAlignment="1">
      <alignment horizontal="left"/>
    </xf>
    <xf numFmtId="0" fontId="2" fillId="8" borderId="5" xfId="0" applyFont="1" applyFill="1" applyBorder="1" applyAlignment="1">
      <alignment horizontal="center"/>
    </xf>
    <xf numFmtId="0" fontId="2" fillId="8" borderId="6" xfId="0" applyFont="1" applyFill="1" applyBorder="1" applyAlignment="1">
      <alignment horizontal="center"/>
    </xf>
    <xf numFmtId="0" fontId="0" fillId="0" borderId="0" xfId="0" pivotButton="1"/>
    <xf numFmtId="0" fontId="0" fillId="0" borderId="0" xfId="0" applyNumberFormat="1"/>
    <xf numFmtId="0" fontId="3" fillId="0" borderId="0" xfId="0" applyFont="1"/>
  </cellXfs>
  <cellStyles count="2">
    <cellStyle name="Comma" xfId="1" builtinId="3"/>
    <cellStyle name="Normal" xfId="0" builtinId="0"/>
  </cellStyles>
  <dxfs count="4">
    <dxf>
      <numFmt numFmtId="19" formatCode="dd/mm/yyyy"/>
    </dxf>
    <dxf>
      <numFmt numFmtId="0" formatCode="General"/>
    </dxf>
    <dxf>
      <numFmt numFmtId="3" formatCode="#,##0"/>
    </dxf>
    <dxf>
      <numFmt numFmtId="0" formatCode="General"/>
    </dxf>
  </dxfs>
  <tableStyles count="1" defaultTableStyle="TableStyleMedium2" defaultPivotStyle="PivotStyleLight16">
    <tableStyle name="Slicer Style 1" pivot="0" table="0" count="1" xr9:uid="{653122AD-AECB-4581-B6E5-F01739F7A43D}"/>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dashboard.xlsx]Pivot!PivotTable5</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solidFill>
                  <a:schemeClr val="bg1"/>
                </a:solidFill>
                <a:latin typeface="+mn-lt"/>
                <a:ea typeface="+mn-ea"/>
                <a:cs typeface="+mn-cs"/>
              </a:rPr>
              <a:t>Item wise Expense</a:t>
            </a:r>
            <a:endParaRPr lang="en-IN">
              <a:solidFill>
                <a:schemeClr val="bg1"/>
              </a:solidFill>
            </a:endParaRPr>
          </a:p>
        </c:rich>
      </c:tx>
      <c:layout>
        <c:manualLayout>
          <c:xMode val="edge"/>
          <c:yMode val="edge"/>
          <c:x val="0.28739211434060574"/>
          <c:y val="2.3689160631970439E-2"/>
        </c:manualLayout>
      </c:layout>
      <c:overlay val="0"/>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Pivot!$K$6:$K$7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Pivot!$J$8:$J$14</c:f>
              <c:strCache>
                <c:ptCount val="6"/>
                <c:pt idx="0">
                  <c:v>Entertainment</c:v>
                </c:pt>
                <c:pt idx="1">
                  <c:v>Food</c:v>
                </c:pt>
                <c:pt idx="2">
                  <c:v>Fuel</c:v>
                </c:pt>
                <c:pt idx="3">
                  <c:v>Health</c:v>
                </c:pt>
                <c:pt idx="4">
                  <c:v>Shopping</c:v>
                </c:pt>
                <c:pt idx="5">
                  <c:v>Transpotation</c:v>
                </c:pt>
              </c:strCache>
            </c:strRef>
          </c:cat>
          <c:val>
            <c:numRef>
              <c:f>Pivot!$K$8:$K$14</c:f>
              <c:numCache>
                <c:formatCode>#,##0</c:formatCode>
                <c:ptCount val="6"/>
                <c:pt idx="0">
                  <c:v>24450</c:v>
                </c:pt>
                <c:pt idx="1">
                  <c:v>94200</c:v>
                </c:pt>
                <c:pt idx="2">
                  <c:v>18275</c:v>
                </c:pt>
                <c:pt idx="3">
                  <c:v>21400</c:v>
                </c:pt>
                <c:pt idx="4">
                  <c:v>41200</c:v>
                </c:pt>
                <c:pt idx="5">
                  <c:v>23900</c:v>
                </c:pt>
              </c:numCache>
            </c:numRef>
          </c:val>
          <c:extLst>
            <c:ext xmlns:c16="http://schemas.microsoft.com/office/drawing/2014/chart" uri="{C3380CC4-5D6E-409C-BE32-E72D297353CC}">
              <c16:uniqueId val="{00000000-B085-4194-A21B-906F15313EA0}"/>
            </c:ext>
          </c:extLst>
        </c:ser>
        <c:dLbls>
          <c:showLegendKey val="0"/>
          <c:showVal val="0"/>
          <c:showCatName val="0"/>
          <c:showSerName val="0"/>
          <c:showPercent val="0"/>
          <c:showBubbleSize val="0"/>
        </c:dLbls>
        <c:gapWidth val="100"/>
        <c:overlap val="-24"/>
        <c:axId val="2132663104"/>
        <c:axId val="2132669344"/>
      </c:barChart>
      <c:catAx>
        <c:axId val="21326631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669344"/>
        <c:crosses val="autoZero"/>
        <c:auto val="1"/>
        <c:lblAlgn val="ctr"/>
        <c:lblOffset val="100"/>
        <c:noMultiLvlLbl val="0"/>
      </c:catAx>
      <c:valAx>
        <c:axId val="213266934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266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[Personal finance dashboard.xlsx]Pivot!PivotTable7</c:name>
    <c:fmtId val="7"/>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IN" sz="1600">
                <a:solidFill>
                  <a:schemeClr val="bg1"/>
                </a:solidFill>
                <a:latin typeface="+mn-lt"/>
                <a:ea typeface="+mn-ea"/>
                <a:cs typeface="+mn-cs"/>
              </a:rPr>
              <a:t>Monthly Analysis</a:t>
            </a:r>
            <a:endParaRPr lang="en-IN" sz="1600">
              <a:solidFill>
                <a:schemeClr val="bg1"/>
              </a:solidFill>
            </a:endParaRPr>
          </a:p>
        </c:rich>
      </c:tx>
      <c:layout>
        <c:manualLayout>
          <c:xMode val="edge"/>
          <c:yMode val="edge"/>
          <c:x val="0.29040342298288507"/>
          <c:y val="2.5535470821549854E-2"/>
        </c:manualLayout>
      </c:layout>
      <c:overlay val="0"/>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noFill/>
          <a:prstDash val="solid"/>
          <a:miter lim="800000"/>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Pivot!$N$4:$N$5</c:f>
              <c:strCache>
                <c:ptCount val="1"/>
                <c:pt idx="0">
                  <c:v>Expense</c:v>
                </c:pt>
              </c:strCache>
            </c:strRef>
          </c:tx>
          <c:spPr>
            <a:noFill/>
            <a:ln w="9525" cap="flat" cmpd="sng" algn="ctr">
              <a:solidFill>
                <a:schemeClr val="accent1">
                  <a:shade val="76000"/>
                </a:schemeClr>
              </a:solidFill>
              <a:miter lim="800000"/>
            </a:ln>
            <a:effectLst>
              <a:glow rad="63500">
                <a:schemeClr val="accent1">
                  <a:shade val="76000"/>
                  <a:satMod val="175000"/>
                  <a:alpha val="25000"/>
                </a:schemeClr>
              </a:glow>
            </a:effectLst>
          </c:spPr>
          <c:invertIfNegative val="0"/>
          <c:cat>
            <c:strRef>
              <c:f>Pivot!$M$6:$M$18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Pivot!$N$6:$N$18</c:f>
              <c:numCache>
                <c:formatCode>#,##0</c:formatCode>
                <c:ptCount val="12"/>
                <c:pt idx="0">
                  <c:v>16450</c:v>
                </c:pt>
                <c:pt idx="1">
                  <c:v>21500</c:v>
                </c:pt>
                <c:pt idx="2">
                  <c:v>15975</c:v>
                </c:pt>
                <c:pt idx="3">
                  <c:v>13100</c:v>
                </c:pt>
                <c:pt idx="4">
                  <c:v>22100</c:v>
                </c:pt>
                <c:pt idx="5">
                  <c:v>20400</c:v>
                </c:pt>
                <c:pt idx="6">
                  <c:v>25200</c:v>
                </c:pt>
                <c:pt idx="7">
                  <c:v>24900</c:v>
                </c:pt>
                <c:pt idx="8">
                  <c:v>26000</c:v>
                </c:pt>
                <c:pt idx="9">
                  <c:v>21300</c:v>
                </c:pt>
                <c:pt idx="10">
                  <c:v>8000</c:v>
                </c:pt>
                <c:pt idx="11">
                  <c:v>8500</c:v>
                </c:pt>
              </c:numCache>
            </c:numRef>
          </c:val>
          <c:extLst>
            <c:ext xmlns:c16="http://schemas.microsoft.com/office/drawing/2014/chart" uri="{C3380CC4-5D6E-409C-BE32-E72D297353CC}">
              <c16:uniqueId val="{00000000-8104-432B-B29A-E3842040331A}"/>
            </c:ext>
          </c:extLst>
        </c:ser>
        <c:ser>
          <c:idx val="1"/>
          <c:order val="1"/>
          <c:tx>
            <c:strRef>
              <c:f>Pivot!$O$4:$O$5</c:f>
              <c:strCache>
                <c:ptCount val="1"/>
                <c:pt idx="0">
                  <c:v>Income</c:v>
                </c:pt>
              </c:strCache>
            </c:strRef>
          </c:tx>
          <c:spPr>
            <a:noFill/>
            <a:ln w="9525" cap="flat" cmpd="sng" algn="ctr">
              <a:solidFill>
                <a:schemeClr val="accent1">
                  <a:tint val="77000"/>
                </a:schemeClr>
              </a:solidFill>
              <a:miter lim="800000"/>
            </a:ln>
            <a:effectLst>
              <a:glow rad="63500">
                <a:schemeClr val="accent1">
                  <a:tint val="77000"/>
                  <a:satMod val="175000"/>
                  <a:alpha val="25000"/>
                </a:schemeClr>
              </a:glow>
            </a:effectLst>
          </c:spPr>
          <c:invertIfNegative val="0"/>
          <c:cat>
            <c:strRef>
              <c:f>Pivot!$M$6:$M$18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Pivot!$O$6:$O$18</c:f>
              <c:numCache>
                <c:formatCode>#,##0</c:formatCode>
                <c:ptCount val="12"/>
                <c:pt idx="0">
                  <c:v>35000</c:v>
                </c:pt>
                <c:pt idx="1">
                  <c:v>35000</c:v>
                </c:pt>
                <c:pt idx="2">
                  <c:v>34000</c:v>
                </c:pt>
                <c:pt idx="3">
                  <c:v>36900</c:v>
                </c:pt>
                <c:pt idx="4">
                  <c:v>35000</c:v>
                </c:pt>
                <c:pt idx="5">
                  <c:v>35000</c:v>
                </c:pt>
                <c:pt idx="6">
                  <c:v>35000</c:v>
                </c:pt>
                <c:pt idx="7">
                  <c:v>38300</c:v>
                </c:pt>
                <c:pt idx="8">
                  <c:v>38250</c:v>
                </c:pt>
                <c:pt idx="9">
                  <c:v>43000</c:v>
                </c:pt>
                <c:pt idx="10">
                  <c:v>37000</c:v>
                </c:pt>
                <c:pt idx="11">
                  <c:v>38000</c:v>
                </c:pt>
              </c:numCache>
            </c:numRef>
          </c:val>
          <c:extLst>
            <c:ext xmlns:c16="http://schemas.microsoft.com/office/drawing/2014/chart" uri="{C3380CC4-5D6E-409C-BE32-E72D297353CC}">
              <c16:uniqueId val="{00000001-8104-432B-B29A-E3842040331A}"/>
            </c:ext>
          </c:extLst>
        </c:ser>
        <c:dLbls>
          <c:showLegendKey val="0"/>
          <c:showVal val="0"/>
          <c:showCatName val="0"/>
          <c:showSerName val="0"/>
          <c:showPercent val="0"/>
          <c:showBubbleSize val="0"/>
        </c:dLbls>
        <c:gapWidth val="315"/>
        <c:overlap val="-40"/>
        <c:axId val="2128396912"/>
        <c:axId val="2128388272"/>
      </c:barChart>
      <c:catAx>
        <c:axId val="21283969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8388272"/>
        <c:crosses val="autoZero"/>
        <c:auto val="1"/>
        <c:lblAlgn val="ctr"/>
        <c:lblOffset val="100"/>
        <c:noMultiLvlLbl val="0"/>
      </c:catAx>
      <c:valAx>
        <c:axId val="21283882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839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[Personal finance dashboard.xlsx]Pivot!PivotTable8</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bg1"/>
                </a:solidFill>
                <a:latin typeface="+mn-lt"/>
                <a:ea typeface="+mn-ea"/>
                <a:cs typeface="+mn-cs"/>
              </a:rPr>
              <a:t>Income</a:t>
            </a:r>
            <a:r>
              <a:rPr lang="en-US" baseline="0">
                <a:solidFill>
                  <a:schemeClr val="bg1"/>
                </a:solidFill>
                <a:latin typeface="+mn-lt"/>
                <a:ea typeface="+mn-ea"/>
                <a:cs typeface="+mn-cs"/>
              </a:rPr>
              <a:t> Sources</a:t>
            </a:r>
            <a:endParaRPr lang="en-US">
              <a:solidFill>
                <a:schemeClr val="bg1"/>
              </a:solidFill>
            </a:endParaRPr>
          </a:p>
        </c:rich>
      </c:tx>
      <c:layout>
        <c:manualLayout>
          <c:xMode val="edge"/>
          <c:yMode val="edge"/>
          <c:x val="0.31126688888888887"/>
          <c:y val="1.9821481481481482E-2"/>
        </c:manualLayout>
      </c:layout>
      <c:overlay val="0"/>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Pivot!$K$23:$K$24</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CBF-4AC8-B54C-20CDA0519DF0}"/>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CBF-4AC8-B54C-20CDA0519D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Pivot!$J$25:$J$27</c:f>
              <c:strCache>
                <c:ptCount val="2"/>
                <c:pt idx="0">
                  <c:v>Rent Income</c:v>
                </c:pt>
                <c:pt idx="1">
                  <c:v>Salary</c:v>
                </c:pt>
              </c:strCache>
            </c:strRef>
          </c:cat>
          <c:val>
            <c:numRef>
              <c:f>Pivot!$K$25:$K$27</c:f>
              <c:numCache>
                <c:formatCode>#,##0</c:formatCode>
                <c:ptCount val="2"/>
                <c:pt idx="0">
                  <c:v>10950</c:v>
                </c:pt>
                <c:pt idx="1">
                  <c:v>429500</c:v>
                </c:pt>
              </c:numCache>
            </c:numRef>
          </c:val>
          <c:extLst>
            <c:ext xmlns:c16="http://schemas.microsoft.com/office/drawing/2014/chart" uri="{C3380CC4-5D6E-409C-BE32-E72D297353CC}">
              <c16:uniqueId val="{00000004-ECBF-4AC8-B54C-20CDA0519DF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[Personal finance dashboard.xlsx]Pivot!PivotTable11</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bg1"/>
                </a:solidFill>
                <a:latin typeface="+mn-lt"/>
                <a:ea typeface="+mn-ea"/>
                <a:cs typeface="+mn-cs"/>
              </a:rPr>
              <a:t>Total</a:t>
            </a:r>
            <a:endParaRPr lang="en-US">
              <a:solidFill>
                <a:schemeClr val="bg1"/>
              </a:solidFill>
            </a:endParaRPr>
          </a:p>
        </c:rich>
      </c:tx>
      <c:layout>
        <c:manualLayout>
          <c:xMode val="edge"/>
          <c:yMode val="edge"/>
          <c:x val="0.43599911111111106"/>
          <c:y val="2.3518518518518518E-2"/>
        </c:manualLayout>
      </c:layout>
      <c:overlay val="0"/>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Pivot!$N$22:$N$23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Pivot!$M$24:$M$26</c:f>
              <c:strCache>
                <c:ptCount val="2"/>
                <c:pt idx="0">
                  <c:v>Expense</c:v>
                </c:pt>
                <c:pt idx="1">
                  <c:v>Income</c:v>
                </c:pt>
              </c:strCache>
            </c:strRef>
          </c:cat>
          <c:val>
            <c:numRef>
              <c:f>Pivot!$N$24:$N$26</c:f>
              <c:numCache>
                <c:formatCode>#,##0</c:formatCode>
                <c:ptCount val="2"/>
                <c:pt idx="0">
                  <c:v>223425</c:v>
                </c:pt>
                <c:pt idx="1">
                  <c:v>440450</c:v>
                </c:pt>
              </c:numCache>
            </c:numRef>
          </c:val>
          <c:extLst>
            <c:ext xmlns:c16="http://schemas.microsoft.com/office/drawing/2014/chart" uri="{C3380CC4-5D6E-409C-BE32-E72D297353CC}">
              <c16:uniqueId val="{00000000-F9AC-408A-A959-D95F45939187}"/>
            </c:ext>
          </c:extLst>
        </c:ser>
        <c:dLbls>
          <c:showLegendKey val="0"/>
          <c:showVal val="0"/>
          <c:showCatName val="0"/>
          <c:showSerName val="0"/>
          <c:showPercent val="0"/>
          <c:showBubbleSize val="0"/>
        </c:dLbls>
        <c:gapWidth val="100"/>
        <c:overlap val="-24"/>
        <c:axId val="437282688"/>
        <c:axId val="437272128"/>
      </c:barChart>
      <c:catAx>
        <c:axId val="437282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272128"/>
        <c:crosses val="autoZero"/>
        <c:auto val="1"/>
        <c:lblAlgn val="ctr"/>
        <c:lblOffset val="100"/>
        <c:noMultiLvlLbl val="0"/>
      </c:catAx>
      <c:valAx>
        <c:axId val="43727212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28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3.xml"/><Relationship Id="rId21" Type="http://schemas.openxmlformats.org/officeDocument/2006/relationships/image" Target="../media/image17.png"/><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24" Type="http://schemas.openxmlformats.org/officeDocument/2006/relationships/image" Target="../media/image20.svg"/><Relationship Id="rId5" Type="http://schemas.openxmlformats.org/officeDocument/2006/relationships/image" Target="../media/image1.png"/><Relationship Id="rId15" Type="http://schemas.openxmlformats.org/officeDocument/2006/relationships/image" Target="../media/image11.png"/><Relationship Id="rId23" Type="http://schemas.openxmlformats.org/officeDocument/2006/relationships/image" Target="../media/image19.png"/><Relationship Id="rId10" Type="http://schemas.openxmlformats.org/officeDocument/2006/relationships/image" Target="../media/image6.svg"/><Relationship Id="rId19" Type="http://schemas.openxmlformats.org/officeDocument/2006/relationships/image" Target="../media/image15.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xdr:from>
      <xdr:col>2</xdr:col>
      <xdr:colOff>289560</xdr:colOff>
      <xdr:row>19</xdr:row>
      <xdr:rowOff>61816</xdr:rowOff>
    </xdr:from>
    <xdr:to>
      <xdr:col>9</xdr:col>
      <xdr:colOff>522360</xdr:colOff>
      <xdr:row>34</xdr:row>
      <xdr:rowOff>18616</xdr:rowOff>
    </xdr:to>
    <xdr:graphicFrame macro="">
      <xdr:nvGraphicFramePr>
        <xdr:cNvPr id="2" name="Chart 1">
          <a:extLst>
            <a:ext uri="{FF2B5EF4-FFF2-40B4-BE49-F238E27FC236}">
              <a16:creationId xmlns:a16="http://schemas.microsoft.com/office/drawing/2014/main" id="{2AC5B8F6-BE78-4AA6-AD42-405B2C059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297180</xdr:colOff>
      <xdr:row>14</xdr:row>
      <xdr:rowOff>45720</xdr:rowOff>
    </xdr:from>
    <xdr:to>
      <xdr:col>17</xdr:col>
      <xdr:colOff>182880</xdr:colOff>
      <xdr:row>19</xdr:row>
      <xdr:rowOff>20330</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561F24F9-26AF-40CA-9832-868AF932888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16380" y="2636520"/>
              <a:ext cx="9029700" cy="899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289560</xdr:colOff>
      <xdr:row>34</xdr:row>
      <xdr:rowOff>40648</xdr:rowOff>
    </xdr:from>
    <xdr:to>
      <xdr:col>9</xdr:col>
      <xdr:colOff>522360</xdr:colOff>
      <xdr:row>48</xdr:row>
      <xdr:rowOff>180328</xdr:rowOff>
    </xdr:to>
    <xdr:graphicFrame macro="">
      <xdr:nvGraphicFramePr>
        <xdr:cNvPr id="7" name="Chart 6">
          <a:extLst>
            <a:ext uri="{FF2B5EF4-FFF2-40B4-BE49-F238E27FC236}">
              <a16:creationId xmlns:a16="http://schemas.microsoft.com/office/drawing/2014/main" id="{F3477398-21CA-4C30-B9A7-78107E4A6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562789</xdr:colOff>
      <xdr:row>34</xdr:row>
      <xdr:rowOff>46211</xdr:rowOff>
    </xdr:from>
    <xdr:to>
      <xdr:col>17</xdr:col>
      <xdr:colOff>185989</xdr:colOff>
      <xdr:row>49</xdr:row>
      <xdr:rowOff>3011</xdr:rowOff>
    </xdr:to>
    <xdr:graphicFrame macro="">
      <xdr:nvGraphicFramePr>
        <xdr:cNvPr id="8" name="Chart 7">
          <a:extLst>
            <a:ext uri="{FF2B5EF4-FFF2-40B4-BE49-F238E27FC236}">
              <a16:creationId xmlns:a16="http://schemas.microsoft.com/office/drawing/2014/main" id="{B10EB986-992E-4BB8-96DF-9011F93BD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556260</xdr:colOff>
      <xdr:row>19</xdr:row>
      <xdr:rowOff>60960</xdr:rowOff>
    </xdr:from>
    <xdr:to>
      <xdr:col>17</xdr:col>
      <xdr:colOff>179460</xdr:colOff>
      <xdr:row>34</xdr:row>
      <xdr:rowOff>17760</xdr:rowOff>
    </xdr:to>
    <xdr:graphicFrame macro="">
      <xdr:nvGraphicFramePr>
        <xdr:cNvPr id="10" name="Chart 9">
          <a:extLst>
            <a:ext uri="{FF2B5EF4-FFF2-40B4-BE49-F238E27FC236}">
              <a16:creationId xmlns:a16="http://schemas.microsoft.com/office/drawing/2014/main" id="{35363BE2-B421-41AE-80C2-910551E54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327660</xdr:colOff>
      <xdr:row>7</xdr:row>
      <xdr:rowOff>106680</xdr:rowOff>
    </xdr:from>
    <xdr:to>
      <xdr:col>7</xdr:col>
      <xdr:colOff>220980</xdr:colOff>
      <xdr:row>11</xdr:row>
      <xdr:rowOff>45720</xdr:rowOff>
    </xdr:to>
    <xdr:sp macro="" textlink="Dashboard!F25">
      <xdr:nvSpPr>
        <xdr:cNvPr id="11" name="Rectangle: Rounded Corners 10">
          <a:extLst>
            <a:ext uri="{FF2B5EF4-FFF2-40B4-BE49-F238E27FC236}">
              <a16:creationId xmlns:a16="http://schemas.microsoft.com/office/drawing/2014/main" id="{40831060-0CA0-C2C0-A239-3A1C5877F507}"/>
            </a:ext>
          </a:extLst>
        </xdr:cNvPr>
        <xdr:cNvSpPr/>
      </xdr:nvSpPr>
      <xdr:spPr>
        <a:xfrm>
          <a:off x="1546860" y="1386840"/>
          <a:ext cx="2941320" cy="67056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2B3CAF-97C3-4A28-A8FE-AB6D0EB42882}" type="TxLink">
            <a:rPr lang="en-US" sz="1400" b="1" i="0" u="none" strike="noStrike">
              <a:solidFill>
                <a:schemeClr val="bg1"/>
              </a:solidFill>
              <a:latin typeface="Calibri"/>
              <a:ea typeface="Calibri"/>
              <a:cs typeface="Calibri"/>
            </a:rPr>
            <a:t>TOTAL INCOME
₹ 4,77,154</a:t>
          </a:fld>
          <a:endParaRPr lang="en-IN" sz="2000" b="1">
            <a:solidFill>
              <a:schemeClr val="bg1"/>
            </a:solidFill>
          </a:endParaRPr>
        </a:p>
      </xdr:txBody>
    </xdr:sp>
    <xdr:clientData/>
  </xdr:twoCellAnchor>
  <xdr:oneCellAnchor>
    <xdr:from>
      <xdr:col>18</xdr:col>
      <xdr:colOff>525780</xdr:colOff>
      <xdr:row>15</xdr:row>
      <xdr:rowOff>167640</xdr:rowOff>
    </xdr:from>
    <xdr:ext cx="184731" cy="264560"/>
    <xdr:sp macro="" textlink="">
      <xdr:nvSpPr>
        <xdr:cNvPr id="21" name="TextBox 20">
          <a:extLst>
            <a:ext uri="{FF2B5EF4-FFF2-40B4-BE49-F238E27FC236}">
              <a16:creationId xmlns:a16="http://schemas.microsoft.com/office/drawing/2014/main" id="{9A67059F-3A3D-34CB-94D8-C25770DB658C}"/>
            </a:ext>
          </a:extLst>
        </xdr:cNvPr>
        <xdr:cNvSpPr txBox="1"/>
      </xdr:nvSpPr>
      <xdr:spPr>
        <a:xfrm>
          <a:off x="11498580" y="2910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297180</xdr:colOff>
      <xdr:row>7</xdr:row>
      <xdr:rowOff>114300</xdr:rowOff>
    </xdr:from>
    <xdr:to>
      <xdr:col>12</xdr:col>
      <xdr:colOff>190500</xdr:colOff>
      <xdr:row>11</xdr:row>
      <xdr:rowOff>53340</xdr:rowOff>
    </xdr:to>
    <xdr:sp macro="" textlink="Dashboard!F26">
      <xdr:nvSpPr>
        <xdr:cNvPr id="23" name="Rectangle: Rounded Corners 22">
          <a:extLst>
            <a:ext uri="{FF2B5EF4-FFF2-40B4-BE49-F238E27FC236}">
              <a16:creationId xmlns:a16="http://schemas.microsoft.com/office/drawing/2014/main" id="{1B977DBD-68D1-44CA-BBA8-FB2DE75E629C}"/>
            </a:ext>
          </a:extLst>
        </xdr:cNvPr>
        <xdr:cNvSpPr/>
      </xdr:nvSpPr>
      <xdr:spPr>
        <a:xfrm>
          <a:off x="4564380" y="1394460"/>
          <a:ext cx="2941320" cy="67056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59D65B1-3222-45BD-8210-C60B74CFE51D}" type="TxLink">
            <a:rPr lang="en-US" sz="1400" b="1" i="0" u="none" strike="noStrike">
              <a:solidFill>
                <a:schemeClr val="bg1"/>
              </a:solidFill>
              <a:latin typeface="Calibri"/>
              <a:ea typeface="Calibri"/>
              <a:cs typeface="Calibri"/>
            </a:rPr>
            <a:t>TOTAL EXPENSE
₹ 2,23,425</a:t>
          </a:fld>
          <a:endParaRPr lang="en-IN" sz="2800" b="1">
            <a:solidFill>
              <a:schemeClr val="bg1"/>
            </a:solidFill>
          </a:endParaRPr>
        </a:p>
      </xdr:txBody>
    </xdr:sp>
    <xdr:clientData/>
  </xdr:twoCellAnchor>
  <xdr:twoCellAnchor>
    <xdr:from>
      <xdr:col>12</xdr:col>
      <xdr:colOff>266700</xdr:colOff>
      <xdr:row>7</xdr:row>
      <xdr:rowOff>114300</xdr:rowOff>
    </xdr:from>
    <xdr:to>
      <xdr:col>17</xdr:col>
      <xdr:colOff>160020</xdr:colOff>
      <xdr:row>11</xdr:row>
      <xdr:rowOff>53340</xdr:rowOff>
    </xdr:to>
    <xdr:sp macro="" textlink="Dashboard!F27">
      <xdr:nvSpPr>
        <xdr:cNvPr id="24" name="Rectangle: Rounded Corners 23">
          <a:extLst>
            <a:ext uri="{FF2B5EF4-FFF2-40B4-BE49-F238E27FC236}">
              <a16:creationId xmlns:a16="http://schemas.microsoft.com/office/drawing/2014/main" id="{CA6A3439-3B7A-4E7E-B27F-94022283AF68}"/>
            </a:ext>
          </a:extLst>
        </xdr:cNvPr>
        <xdr:cNvSpPr/>
      </xdr:nvSpPr>
      <xdr:spPr>
        <a:xfrm>
          <a:off x="7581900" y="1394460"/>
          <a:ext cx="2941320" cy="67056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7746E0-266F-4B2E-9D51-FCBF0C6049F0}" type="TxLink">
            <a:rPr lang="en-US" sz="1400" b="1" i="0" u="none" strike="noStrike">
              <a:solidFill>
                <a:schemeClr val="bg1"/>
              </a:solidFill>
              <a:latin typeface="Calibri"/>
              <a:ea typeface="Calibri"/>
              <a:cs typeface="Calibri"/>
            </a:rPr>
            <a:t>NET SAVINGS
₹ 2,17,025</a:t>
          </a:fld>
          <a:endParaRPr lang="en-IN" sz="3600" b="1">
            <a:solidFill>
              <a:schemeClr val="bg1"/>
            </a:solidFill>
          </a:endParaRPr>
        </a:p>
      </xdr:txBody>
    </xdr:sp>
    <xdr:clientData/>
  </xdr:twoCellAnchor>
  <xdr:twoCellAnchor>
    <xdr:from>
      <xdr:col>2</xdr:col>
      <xdr:colOff>312420</xdr:colOff>
      <xdr:row>11</xdr:row>
      <xdr:rowOff>91440</xdr:rowOff>
    </xdr:from>
    <xdr:to>
      <xdr:col>4</xdr:col>
      <xdr:colOff>563880</xdr:colOff>
      <xdr:row>14</xdr:row>
      <xdr:rowOff>15240</xdr:rowOff>
    </xdr:to>
    <xdr:sp macro="" textlink="Pivot!R6">
      <xdr:nvSpPr>
        <xdr:cNvPr id="25" name="Rectangle: Rounded Corners 24">
          <a:extLst>
            <a:ext uri="{FF2B5EF4-FFF2-40B4-BE49-F238E27FC236}">
              <a16:creationId xmlns:a16="http://schemas.microsoft.com/office/drawing/2014/main" id="{48958C46-4EC4-4AAF-893F-13D61C3D0523}"/>
            </a:ext>
          </a:extLst>
        </xdr:cNvPr>
        <xdr:cNvSpPr/>
      </xdr:nvSpPr>
      <xdr:spPr>
        <a:xfrm>
          <a:off x="1531620" y="2103120"/>
          <a:ext cx="1470660" cy="47244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8A70F714-0EDF-4DE3-935D-09C9E901121E}" type="TxLink">
            <a:rPr lang="en-US" sz="1000" b="1" i="0" u="none" strike="noStrike">
              <a:solidFill>
                <a:schemeClr val="bg1"/>
              </a:solidFill>
              <a:latin typeface="Calibri"/>
              <a:ea typeface="Calibri"/>
              <a:cs typeface="Calibri"/>
            </a:rPr>
            <a:pPr algn="r"/>
            <a:t>Entertainment
₹ 24,450</a:t>
          </a:fld>
          <a:endParaRPr lang="en-US" sz="1000" b="1" i="0" u="none" strike="noStrike">
            <a:solidFill>
              <a:schemeClr val="bg1"/>
            </a:solidFill>
            <a:latin typeface="Calibri"/>
            <a:ea typeface="Calibri"/>
            <a:cs typeface="Calibri"/>
          </a:endParaRPr>
        </a:p>
      </xdr:txBody>
    </xdr:sp>
    <xdr:clientData/>
  </xdr:twoCellAnchor>
  <xdr:twoCellAnchor>
    <xdr:from>
      <xdr:col>5</xdr:col>
      <xdr:colOff>6096</xdr:colOff>
      <xdr:row>11</xdr:row>
      <xdr:rowOff>91440</xdr:rowOff>
    </xdr:from>
    <xdr:to>
      <xdr:col>7</xdr:col>
      <xdr:colOff>219456</xdr:colOff>
      <xdr:row>14</xdr:row>
      <xdr:rowOff>15240</xdr:rowOff>
    </xdr:to>
    <xdr:sp macro="" textlink="Pivot!R7">
      <xdr:nvSpPr>
        <xdr:cNvPr id="30" name="Rectangle: Rounded Corners 29">
          <a:extLst>
            <a:ext uri="{FF2B5EF4-FFF2-40B4-BE49-F238E27FC236}">
              <a16:creationId xmlns:a16="http://schemas.microsoft.com/office/drawing/2014/main" id="{AF42ED95-119F-4B67-8155-8736A8EA17B5}"/>
            </a:ext>
          </a:extLst>
        </xdr:cNvPr>
        <xdr:cNvSpPr/>
      </xdr:nvSpPr>
      <xdr:spPr>
        <a:xfrm>
          <a:off x="3054096" y="2103120"/>
          <a:ext cx="1432560" cy="47244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fld id="{91A8F69C-08A1-42D9-9637-56C313B2BD25}" type="TxLink">
            <a:rPr lang="en-US" sz="1000" b="1" i="0" u="none" strike="noStrike">
              <a:solidFill>
                <a:schemeClr val="bg1"/>
              </a:solidFill>
              <a:latin typeface="Calibri"/>
              <a:ea typeface="Calibri"/>
              <a:cs typeface="Calibri"/>
            </a:rPr>
            <a:pPr lvl="0" algn="r"/>
            <a:t>Food
₹ 94,200</a:t>
          </a:fld>
          <a:endParaRPr lang="en-US" sz="1000" b="1">
            <a:solidFill>
              <a:schemeClr val="bg1"/>
            </a:solidFill>
          </a:endParaRPr>
        </a:p>
      </xdr:txBody>
    </xdr:sp>
    <xdr:clientData/>
  </xdr:twoCellAnchor>
  <xdr:twoCellAnchor>
    <xdr:from>
      <xdr:col>7</xdr:col>
      <xdr:colOff>271272</xdr:colOff>
      <xdr:row>11</xdr:row>
      <xdr:rowOff>91440</xdr:rowOff>
    </xdr:from>
    <xdr:to>
      <xdr:col>9</xdr:col>
      <xdr:colOff>507492</xdr:colOff>
      <xdr:row>14</xdr:row>
      <xdr:rowOff>15240</xdr:rowOff>
    </xdr:to>
    <xdr:sp macro="" textlink="Pivot!R8">
      <xdr:nvSpPr>
        <xdr:cNvPr id="31" name="Rectangle: Rounded Corners 30">
          <a:extLst>
            <a:ext uri="{FF2B5EF4-FFF2-40B4-BE49-F238E27FC236}">
              <a16:creationId xmlns:a16="http://schemas.microsoft.com/office/drawing/2014/main" id="{7B0BA5B6-8294-D2C3-06D3-52E75495DC64}"/>
            </a:ext>
          </a:extLst>
        </xdr:cNvPr>
        <xdr:cNvSpPr/>
      </xdr:nvSpPr>
      <xdr:spPr>
        <a:xfrm>
          <a:off x="4538472" y="2103120"/>
          <a:ext cx="1455420" cy="47244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EFCA3894-2805-48A7-B53F-B06517E1FDC8}" type="TxLink">
            <a:rPr lang="en-US" sz="1050" b="1" i="0" u="none" strike="noStrike">
              <a:solidFill>
                <a:schemeClr val="bg1"/>
              </a:solidFill>
              <a:latin typeface="Calibri"/>
              <a:ea typeface="Calibri"/>
              <a:cs typeface="Calibri"/>
            </a:rPr>
            <a:pPr algn="r"/>
            <a:t>Fuel
₹ 18,275</a:t>
          </a:fld>
          <a:endParaRPr lang="en-IN" sz="1800" b="1">
            <a:solidFill>
              <a:schemeClr val="bg1"/>
            </a:solidFill>
          </a:endParaRPr>
        </a:p>
      </xdr:txBody>
    </xdr:sp>
    <xdr:clientData/>
  </xdr:twoCellAnchor>
  <xdr:twoCellAnchor>
    <xdr:from>
      <xdr:col>9</xdr:col>
      <xdr:colOff>559308</xdr:colOff>
      <xdr:row>11</xdr:row>
      <xdr:rowOff>91440</xdr:rowOff>
    </xdr:from>
    <xdr:to>
      <xdr:col>12</xdr:col>
      <xdr:colOff>178308</xdr:colOff>
      <xdr:row>14</xdr:row>
      <xdr:rowOff>15240</xdr:rowOff>
    </xdr:to>
    <xdr:sp macro="" textlink="Pivot!R9">
      <xdr:nvSpPr>
        <xdr:cNvPr id="32" name="Rectangle: Rounded Corners 31">
          <a:extLst>
            <a:ext uri="{FF2B5EF4-FFF2-40B4-BE49-F238E27FC236}">
              <a16:creationId xmlns:a16="http://schemas.microsoft.com/office/drawing/2014/main" id="{6AAA62D6-4908-F0BB-3068-B08CC41728F7}"/>
            </a:ext>
          </a:extLst>
        </xdr:cNvPr>
        <xdr:cNvSpPr/>
      </xdr:nvSpPr>
      <xdr:spPr>
        <a:xfrm>
          <a:off x="6045708" y="2103120"/>
          <a:ext cx="1447800" cy="47244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E8987717-F237-46E9-92E7-ACF8C927CA60}" type="TxLink">
            <a:rPr lang="en-US" sz="1050" b="1" i="0" u="none" strike="noStrike">
              <a:solidFill>
                <a:schemeClr val="bg1"/>
              </a:solidFill>
              <a:latin typeface="Calibri"/>
              <a:ea typeface="Calibri"/>
              <a:cs typeface="Calibri"/>
            </a:rPr>
            <a:pPr algn="r"/>
            <a:t>Health
₹ 21,400</a:t>
          </a:fld>
          <a:endParaRPr lang="en-IN" sz="1800" b="1">
            <a:solidFill>
              <a:schemeClr val="bg1"/>
            </a:solidFill>
          </a:endParaRPr>
        </a:p>
      </xdr:txBody>
    </xdr:sp>
    <xdr:clientData/>
  </xdr:twoCellAnchor>
  <xdr:twoCellAnchor>
    <xdr:from>
      <xdr:col>12</xdr:col>
      <xdr:colOff>230124</xdr:colOff>
      <xdr:row>11</xdr:row>
      <xdr:rowOff>91440</xdr:rowOff>
    </xdr:from>
    <xdr:to>
      <xdr:col>14</xdr:col>
      <xdr:colOff>481584</xdr:colOff>
      <xdr:row>14</xdr:row>
      <xdr:rowOff>15240</xdr:rowOff>
    </xdr:to>
    <xdr:sp macro="" textlink="Pivot!R10">
      <xdr:nvSpPr>
        <xdr:cNvPr id="33" name="Rectangle: Rounded Corners 32">
          <a:extLst>
            <a:ext uri="{FF2B5EF4-FFF2-40B4-BE49-F238E27FC236}">
              <a16:creationId xmlns:a16="http://schemas.microsoft.com/office/drawing/2014/main" id="{2D60D151-F84B-CEFA-4F1D-4B39694F1990}"/>
            </a:ext>
          </a:extLst>
        </xdr:cNvPr>
        <xdr:cNvSpPr/>
      </xdr:nvSpPr>
      <xdr:spPr>
        <a:xfrm>
          <a:off x="7545324" y="2103120"/>
          <a:ext cx="1470660" cy="47244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1CB6A6C-BE30-4995-AD6A-774A67A0C7E7}" type="TxLink">
            <a:rPr lang="en-US" sz="1050" b="1" i="0" u="none" strike="noStrike">
              <a:solidFill>
                <a:schemeClr val="bg1"/>
              </a:solidFill>
              <a:latin typeface="Calibri"/>
              <a:ea typeface="Calibri"/>
              <a:cs typeface="Calibri"/>
            </a:rPr>
            <a:pPr algn="r"/>
            <a:t>Shopping
₹ 41,200</a:t>
          </a:fld>
          <a:endParaRPr lang="en-IN" sz="1800" b="1">
            <a:solidFill>
              <a:schemeClr val="bg1"/>
            </a:solidFill>
          </a:endParaRPr>
        </a:p>
      </xdr:txBody>
    </xdr:sp>
    <xdr:clientData/>
  </xdr:twoCellAnchor>
  <xdr:twoCellAnchor>
    <xdr:from>
      <xdr:col>14</xdr:col>
      <xdr:colOff>533400</xdr:colOff>
      <xdr:row>11</xdr:row>
      <xdr:rowOff>91440</xdr:rowOff>
    </xdr:from>
    <xdr:to>
      <xdr:col>17</xdr:col>
      <xdr:colOff>175260</xdr:colOff>
      <xdr:row>14</xdr:row>
      <xdr:rowOff>15240</xdr:rowOff>
    </xdr:to>
    <xdr:sp macro="" textlink="Pivot!R11">
      <xdr:nvSpPr>
        <xdr:cNvPr id="34" name="Rectangle: Rounded Corners 33">
          <a:extLst>
            <a:ext uri="{FF2B5EF4-FFF2-40B4-BE49-F238E27FC236}">
              <a16:creationId xmlns:a16="http://schemas.microsoft.com/office/drawing/2014/main" id="{C991507B-1D86-5A3C-A573-24DD30769CCE}"/>
            </a:ext>
          </a:extLst>
        </xdr:cNvPr>
        <xdr:cNvSpPr/>
      </xdr:nvSpPr>
      <xdr:spPr>
        <a:xfrm>
          <a:off x="9067800" y="2103120"/>
          <a:ext cx="1470660" cy="47244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E9FF6806-E30C-4757-9870-6DCCCF4B6A32}" type="TxLink">
            <a:rPr lang="en-US" sz="1000" b="1" i="0" u="none" strike="noStrike">
              <a:solidFill>
                <a:schemeClr val="bg1"/>
              </a:solidFill>
              <a:latin typeface="Calibri"/>
              <a:ea typeface="Calibri"/>
              <a:cs typeface="Calibri"/>
            </a:rPr>
            <a:pPr algn="r"/>
            <a:t>Transportaion
₹ 23,900</a:t>
          </a:fld>
          <a:endParaRPr lang="en-IN" sz="1600" b="1">
            <a:solidFill>
              <a:schemeClr val="bg1"/>
            </a:solidFill>
          </a:endParaRPr>
        </a:p>
      </xdr:txBody>
    </xdr:sp>
    <xdr:clientData/>
  </xdr:twoCellAnchor>
  <xdr:twoCellAnchor editAs="oneCell">
    <xdr:from>
      <xdr:col>7</xdr:col>
      <xdr:colOff>426720</xdr:colOff>
      <xdr:row>7</xdr:row>
      <xdr:rowOff>160020</xdr:rowOff>
    </xdr:from>
    <xdr:to>
      <xdr:col>8</xdr:col>
      <xdr:colOff>357120</xdr:colOff>
      <xdr:row>10</xdr:row>
      <xdr:rowOff>151380</xdr:rowOff>
    </xdr:to>
    <xdr:pic>
      <xdr:nvPicPr>
        <xdr:cNvPr id="37" name="Graphic 36" descr="Money">
          <a:extLst>
            <a:ext uri="{FF2B5EF4-FFF2-40B4-BE49-F238E27FC236}">
              <a16:creationId xmlns:a16="http://schemas.microsoft.com/office/drawing/2014/main" id="{B87F4030-0CDB-0ED0-E3A5-DF70FDBAFB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93920" y="1440180"/>
          <a:ext cx="540000" cy="540000"/>
        </a:xfrm>
        <a:prstGeom prst="rect">
          <a:avLst/>
        </a:prstGeom>
      </xdr:spPr>
    </xdr:pic>
    <xdr:clientData/>
  </xdr:twoCellAnchor>
  <xdr:twoCellAnchor editAs="oneCell">
    <xdr:from>
      <xdr:col>2</xdr:col>
      <xdr:colOff>457200</xdr:colOff>
      <xdr:row>7</xdr:row>
      <xdr:rowOff>175260</xdr:rowOff>
    </xdr:from>
    <xdr:to>
      <xdr:col>3</xdr:col>
      <xdr:colOff>387600</xdr:colOff>
      <xdr:row>10</xdr:row>
      <xdr:rowOff>166620</xdr:rowOff>
    </xdr:to>
    <xdr:pic>
      <xdr:nvPicPr>
        <xdr:cNvPr id="39" name="Graphic 38" descr="Coins">
          <a:extLst>
            <a:ext uri="{FF2B5EF4-FFF2-40B4-BE49-F238E27FC236}">
              <a16:creationId xmlns:a16="http://schemas.microsoft.com/office/drawing/2014/main" id="{9506FD5D-6521-3A01-6D4B-611A382A325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76400" y="1455420"/>
          <a:ext cx="540000" cy="540000"/>
        </a:xfrm>
        <a:prstGeom prst="rect">
          <a:avLst/>
        </a:prstGeom>
      </xdr:spPr>
    </xdr:pic>
    <xdr:clientData/>
  </xdr:twoCellAnchor>
  <xdr:twoCellAnchor editAs="oneCell">
    <xdr:from>
      <xdr:col>12</xdr:col>
      <xdr:colOff>510540</xdr:colOff>
      <xdr:row>8</xdr:row>
      <xdr:rowOff>15240</xdr:rowOff>
    </xdr:from>
    <xdr:to>
      <xdr:col>13</xdr:col>
      <xdr:colOff>440940</xdr:colOff>
      <xdr:row>11</xdr:row>
      <xdr:rowOff>6600</xdr:rowOff>
    </xdr:to>
    <xdr:pic>
      <xdr:nvPicPr>
        <xdr:cNvPr id="41" name="Graphic 40" descr="Piggy Bank">
          <a:extLst>
            <a:ext uri="{FF2B5EF4-FFF2-40B4-BE49-F238E27FC236}">
              <a16:creationId xmlns:a16="http://schemas.microsoft.com/office/drawing/2014/main" id="{C4171CC9-B01F-4BC5-7595-61AEF832531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25740" y="1478280"/>
          <a:ext cx="540000" cy="540000"/>
        </a:xfrm>
        <a:prstGeom prst="rect">
          <a:avLst/>
        </a:prstGeom>
      </xdr:spPr>
    </xdr:pic>
    <xdr:clientData/>
  </xdr:twoCellAnchor>
  <xdr:twoCellAnchor editAs="oneCell">
    <xdr:from>
      <xdr:col>2</xdr:col>
      <xdr:colOff>434340</xdr:colOff>
      <xdr:row>11</xdr:row>
      <xdr:rowOff>160020</xdr:rowOff>
    </xdr:from>
    <xdr:to>
      <xdr:col>3</xdr:col>
      <xdr:colOff>184740</xdr:colOff>
      <xdr:row>13</xdr:row>
      <xdr:rowOff>154260</xdr:rowOff>
    </xdr:to>
    <xdr:pic>
      <xdr:nvPicPr>
        <xdr:cNvPr id="43" name="Graphic 42" descr="Theatre">
          <a:extLst>
            <a:ext uri="{FF2B5EF4-FFF2-40B4-BE49-F238E27FC236}">
              <a16:creationId xmlns:a16="http://schemas.microsoft.com/office/drawing/2014/main" id="{50C48336-4364-3639-45BB-F0750C24D37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53540" y="2171700"/>
          <a:ext cx="360000" cy="360000"/>
        </a:xfrm>
        <a:prstGeom prst="rect">
          <a:avLst/>
        </a:prstGeom>
      </xdr:spPr>
    </xdr:pic>
    <xdr:clientData/>
  </xdr:twoCellAnchor>
  <xdr:twoCellAnchor editAs="oneCell">
    <xdr:from>
      <xdr:col>5</xdr:col>
      <xdr:colOff>236220</xdr:colOff>
      <xdr:row>11</xdr:row>
      <xdr:rowOff>121920</xdr:rowOff>
    </xdr:from>
    <xdr:to>
      <xdr:col>5</xdr:col>
      <xdr:colOff>596220</xdr:colOff>
      <xdr:row>13</xdr:row>
      <xdr:rowOff>116160</xdr:rowOff>
    </xdr:to>
    <xdr:pic>
      <xdr:nvPicPr>
        <xdr:cNvPr id="45" name="Graphic 44" descr="Burger and drink">
          <a:extLst>
            <a:ext uri="{FF2B5EF4-FFF2-40B4-BE49-F238E27FC236}">
              <a16:creationId xmlns:a16="http://schemas.microsoft.com/office/drawing/2014/main" id="{9BF5A4C2-DC80-B195-1A2C-98387B5342D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84220" y="2133600"/>
          <a:ext cx="360000" cy="360000"/>
        </a:xfrm>
        <a:prstGeom prst="rect">
          <a:avLst/>
        </a:prstGeom>
      </xdr:spPr>
    </xdr:pic>
    <xdr:clientData/>
  </xdr:twoCellAnchor>
  <xdr:twoCellAnchor editAs="oneCell">
    <xdr:from>
      <xdr:col>7</xdr:col>
      <xdr:colOff>525780</xdr:colOff>
      <xdr:row>11</xdr:row>
      <xdr:rowOff>129540</xdr:rowOff>
    </xdr:from>
    <xdr:to>
      <xdr:col>8</xdr:col>
      <xdr:colOff>276180</xdr:colOff>
      <xdr:row>13</xdr:row>
      <xdr:rowOff>123780</xdr:rowOff>
    </xdr:to>
    <xdr:pic>
      <xdr:nvPicPr>
        <xdr:cNvPr id="51" name="Graphic 50" descr="Gauge">
          <a:extLst>
            <a:ext uri="{FF2B5EF4-FFF2-40B4-BE49-F238E27FC236}">
              <a16:creationId xmlns:a16="http://schemas.microsoft.com/office/drawing/2014/main" id="{30071D0B-3478-449B-067B-60723BB5D6F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792980" y="2141220"/>
          <a:ext cx="360000" cy="360000"/>
        </a:xfrm>
        <a:prstGeom prst="rect">
          <a:avLst/>
        </a:prstGeom>
      </xdr:spPr>
    </xdr:pic>
    <xdr:clientData/>
  </xdr:twoCellAnchor>
  <xdr:twoCellAnchor editAs="oneCell">
    <xdr:from>
      <xdr:col>10</xdr:col>
      <xdr:colOff>137160</xdr:colOff>
      <xdr:row>11</xdr:row>
      <xdr:rowOff>144780</xdr:rowOff>
    </xdr:from>
    <xdr:to>
      <xdr:col>10</xdr:col>
      <xdr:colOff>497160</xdr:colOff>
      <xdr:row>13</xdr:row>
      <xdr:rowOff>139020</xdr:rowOff>
    </xdr:to>
    <xdr:pic>
      <xdr:nvPicPr>
        <xdr:cNvPr id="53" name="Graphic 52" descr="Heart with pulse">
          <a:extLst>
            <a:ext uri="{FF2B5EF4-FFF2-40B4-BE49-F238E27FC236}">
              <a16:creationId xmlns:a16="http://schemas.microsoft.com/office/drawing/2014/main" id="{E1D17F4D-EE9C-4257-8ED0-1A17E844A14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233160" y="2156460"/>
          <a:ext cx="360000" cy="360000"/>
        </a:xfrm>
        <a:prstGeom prst="rect">
          <a:avLst/>
        </a:prstGeom>
      </xdr:spPr>
    </xdr:pic>
    <xdr:clientData/>
  </xdr:twoCellAnchor>
  <xdr:twoCellAnchor editAs="oneCell">
    <xdr:from>
      <xdr:col>12</xdr:col>
      <xdr:colOff>449580</xdr:colOff>
      <xdr:row>11</xdr:row>
      <xdr:rowOff>152400</xdr:rowOff>
    </xdr:from>
    <xdr:to>
      <xdr:col>13</xdr:col>
      <xdr:colOff>199980</xdr:colOff>
      <xdr:row>13</xdr:row>
      <xdr:rowOff>146640</xdr:rowOff>
    </xdr:to>
    <xdr:pic>
      <xdr:nvPicPr>
        <xdr:cNvPr id="55" name="Graphic 54" descr="Shopping bag">
          <a:extLst>
            <a:ext uri="{FF2B5EF4-FFF2-40B4-BE49-F238E27FC236}">
              <a16:creationId xmlns:a16="http://schemas.microsoft.com/office/drawing/2014/main" id="{9AE8FB07-4237-36FA-EB6B-A19E474A307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764780" y="2164080"/>
          <a:ext cx="360000" cy="360000"/>
        </a:xfrm>
        <a:prstGeom prst="rect">
          <a:avLst/>
        </a:prstGeom>
      </xdr:spPr>
    </xdr:pic>
    <xdr:clientData/>
  </xdr:twoCellAnchor>
  <xdr:twoCellAnchor editAs="oneCell">
    <xdr:from>
      <xdr:col>15</xdr:col>
      <xdr:colOff>99060</xdr:colOff>
      <xdr:row>11</xdr:row>
      <xdr:rowOff>137160</xdr:rowOff>
    </xdr:from>
    <xdr:to>
      <xdr:col>15</xdr:col>
      <xdr:colOff>459060</xdr:colOff>
      <xdr:row>13</xdr:row>
      <xdr:rowOff>131400</xdr:rowOff>
    </xdr:to>
    <xdr:pic>
      <xdr:nvPicPr>
        <xdr:cNvPr id="57" name="Graphic 56" descr="Train">
          <a:extLst>
            <a:ext uri="{FF2B5EF4-FFF2-40B4-BE49-F238E27FC236}">
              <a16:creationId xmlns:a16="http://schemas.microsoft.com/office/drawing/2014/main" id="{2107D8CF-7B79-F9D1-8438-7FDF392F40B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243060" y="2148840"/>
          <a:ext cx="360000" cy="360000"/>
        </a:xfrm>
        <a:prstGeom prst="rect">
          <a:avLst/>
        </a:prstGeom>
      </xdr:spPr>
    </xdr:pic>
    <xdr:clientData/>
  </xdr:twoCellAnchor>
  <xdr:twoCellAnchor>
    <xdr:from>
      <xdr:col>2</xdr:col>
      <xdr:colOff>335280</xdr:colOff>
      <xdr:row>3</xdr:row>
      <xdr:rowOff>99060</xdr:rowOff>
    </xdr:from>
    <xdr:to>
      <xdr:col>17</xdr:col>
      <xdr:colOff>175260</xdr:colOff>
      <xdr:row>7</xdr:row>
      <xdr:rowOff>38100</xdr:rowOff>
    </xdr:to>
    <xdr:sp macro="" textlink="Dashboard!F25">
      <xdr:nvSpPr>
        <xdr:cNvPr id="58" name="Rectangle: Rounded Corners 57">
          <a:extLst>
            <a:ext uri="{FF2B5EF4-FFF2-40B4-BE49-F238E27FC236}">
              <a16:creationId xmlns:a16="http://schemas.microsoft.com/office/drawing/2014/main" id="{E66CB5CB-CBDD-4F5E-BE16-F2973527B620}"/>
            </a:ext>
          </a:extLst>
        </xdr:cNvPr>
        <xdr:cNvSpPr/>
      </xdr:nvSpPr>
      <xdr:spPr>
        <a:xfrm>
          <a:off x="1554480" y="647700"/>
          <a:ext cx="8983980" cy="670560"/>
        </a:xfrm>
        <a:prstGeom prst="roundRect">
          <a:avLst>
            <a:gd name="adj" fmla="val 16667"/>
          </a:avLst>
        </a:prstGeom>
        <a:gradFill flip="none" rotWithShape="1">
          <a:gsLst>
            <a:gs pos="0">
              <a:schemeClr val="accent1">
                <a:lumMod val="82000"/>
                <a:lumOff val="18000"/>
              </a:schemeClr>
            </a:gs>
            <a:gs pos="31000">
              <a:schemeClr val="accent1">
                <a:lumMod val="97000"/>
                <a:lumOff val="3000"/>
              </a:schemeClr>
            </a:gs>
            <a:gs pos="100000">
              <a:schemeClr val="accent1">
                <a:lumMod val="60000"/>
                <a:lumOff val="40000"/>
              </a:schemeClr>
            </a:gs>
          </a:gsLst>
          <a:lin ang="81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ea typeface="Calibri"/>
              <a:cs typeface="Calibri"/>
            </a:rPr>
            <a:t>PERSONAL</a:t>
          </a:r>
          <a:r>
            <a:rPr lang="en-US" sz="3200" b="1" i="0" u="none" strike="noStrike" baseline="0">
              <a:solidFill>
                <a:schemeClr val="bg1"/>
              </a:solidFill>
              <a:latin typeface="Calibri"/>
              <a:ea typeface="Calibri"/>
              <a:cs typeface="Calibri"/>
            </a:rPr>
            <a:t> FINANCE DASHBOARD</a:t>
          </a:r>
          <a:endParaRPr lang="en-IN" sz="4400" b="1">
            <a:solidFill>
              <a:schemeClr val="bg1"/>
            </a:solidFill>
          </a:endParaRPr>
        </a:p>
      </xdr:txBody>
    </xdr:sp>
    <xdr:clientData/>
  </xdr:twoCellAnchor>
  <xdr:twoCellAnchor editAs="oneCell">
    <xdr:from>
      <xdr:col>3</xdr:col>
      <xdr:colOff>91440</xdr:colOff>
      <xdr:row>3</xdr:row>
      <xdr:rowOff>8460</xdr:rowOff>
    </xdr:from>
    <xdr:to>
      <xdr:col>4</xdr:col>
      <xdr:colOff>342900</xdr:colOff>
      <xdr:row>7</xdr:row>
      <xdr:rowOff>138000</xdr:rowOff>
    </xdr:to>
    <xdr:pic>
      <xdr:nvPicPr>
        <xdr:cNvPr id="60" name="Graphic 59" descr="Wallet">
          <a:extLst>
            <a:ext uri="{FF2B5EF4-FFF2-40B4-BE49-F238E27FC236}">
              <a16:creationId xmlns:a16="http://schemas.microsoft.com/office/drawing/2014/main" id="{DB2C4BC8-87E5-6878-E891-D205D4FA712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920240" y="557100"/>
          <a:ext cx="861060" cy="8610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t" refreshedDate="46082.34512002315" createdVersion="8" refreshedVersion="8" minRefreshableVersion="3" recordCount="82" xr:uid="{5BF5346B-A55A-417A-BB2A-D4843A3E694B}">
  <cacheSource type="worksheet">
    <worksheetSource name="Table1"/>
  </cacheSource>
  <cacheFields count="8">
    <cacheField name="Date" numFmtId="14">
      <sharedItems containsSemiMixedTypes="0" containsNonDate="0" containsDate="1" containsString="0" minDate="2025-01-01T00:00:00" maxDate="2025-12-08T00:00:00" count="72">
        <d v="2025-01-01T00:00:00"/>
        <d v="2025-01-03T00:00:00"/>
        <d v="2025-01-10T00:00:00"/>
        <d v="2025-01-11T00:00:00"/>
        <d v="2025-01-12T00:00:00"/>
        <d v="2025-01-19T00:00:00"/>
        <d v="2025-02-01T00:00:00"/>
        <d v="2025-02-03T00:00:00"/>
        <d v="2025-02-10T00:00:00"/>
        <d v="2025-02-22T00:00:00"/>
        <d v="2025-02-28T00:00:00"/>
        <d v="2025-03-02T00:00:00"/>
        <d v="2025-03-10T00:00:00"/>
        <d v="2025-03-11T00:00:00"/>
        <d v="2025-03-15T00:00:00"/>
        <d v="2025-03-20T00:00:00"/>
        <d v="2025-03-23T00:00:00"/>
        <d v="2025-04-02T00:00:00"/>
        <d v="2025-04-05T00:00:00"/>
        <d v="2025-04-09T00:00:00"/>
        <d v="2025-04-14T00:00:00"/>
        <d v="2025-04-18T00:00:00"/>
        <d v="2025-04-22T00:00:00"/>
        <d v="2025-04-27T00:00:00"/>
        <d v="2025-05-03T00:00:00"/>
        <d v="2025-05-06T00:00:00"/>
        <d v="2025-05-11T00:00:00"/>
        <d v="2025-05-15T00:00:00"/>
        <d v="2025-05-19T00:00:00"/>
        <d v="2025-05-24T00:00:00"/>
        <d v="2025-05-30T00:00:00"/>
        <d v="2025-06-01T00:00:00"/>
        <d v="2025-06-04T00:00:00"/>
        <d v="2025-06-08T00:00:00"/>
        <d v="2025-06-12T00:00:00"/>
        <d v="2025-06-17T00:00:00"/>
        <d v="2025-06-21T00:00:00"/>
        <d v="2025-06-28T00:00:00"/>
        <d v="2025-07-02T00:00:00"/>
        <d v="2025-07-05T00:00:00"/>
        <d v="2025-07-10T00:00:00"/>
        <d v="2025-07-13T00:00:00"/>
        <d v="2025-07-18T00:00:00"/>
        <d v="2025-07-22T00:00:00"/>
        <d v="2025-07-29T00:00:00"/>
        <d v="2025-07-31T00:00:00"/>
        <d v="2025-08-04T00:00:00"/>
        <d v="2025-08-07T00:00:00"/>
        <d v="2025-08-12T00:00:00"/>
        <d v="2025-08-16T00:00:00"/>
        <d v="2025-08-20T00:00:00"/>
        <d v="2025-08-25T00:00:00"/>
        <d v="2025-08-29T00:00:00"/>
        <d v="2025-09-01T00:00:00"/>
        <d v="2025-09-03T00:00:00"/>
        <d v="2025-09-09T00:00:00"/>
        <d v="2025-09-14T00:00:00"/>
        <d v="2025-09-18T00:00:00"/>
        <d v="2025-09-23T00:00:00"/>
        <d v="2025-09-27T00:00:00"/>
        <d v="2025-09-30T00:00:00"/>
        <d v="2025-10-02T00:00:00"/>
        <d v="2025-10-06T00:00:00"/>
        <d v="2025-10-11T00:00:00"/>
        <d v="2025-10-15T00:00:00"/>
        <d v="2025-10-19T00:00:00"/>
        <d v="2025-10-24T00:00:00"/>
        <d v="2025-10-28T00:00:00"/>
        <d v="2025-11-02T00:00:00"/>
        <d v="2025-11-07T00:00:00"/>
        <d v="2025-12-01T00:00:00"/>
        <d v="2025-12-07T00:00:00"/>
      </sharedItems>
      <fieldGroup par="7"/>
    </cacheField>
    <cacheField name="Month" numFmtId="0">
      <sharedItems count="12">
        <s v="January"/>
        <s v="February"/>
        <s v="March"/>
        <s v="April"/>
        <s v="May"/>
        <s v="June"/>
        <s v="July"/>
        <s v="August"/>
        <s v="September"/>
        <s v="October"/>
        <s v="November"/>
        <s v="December"/>
      </sharedItems>
    </cacheField>
    <cacheField name="Amount" numFmtId="3">
      <sharedItems containsSemiMixedTypes="0" containsString="0" containsNumber="1" containsInteger="1" minValue="250" maxValue="38000"/>
    </cacheField>
    <cacheField name="Item " numFmtId="0">
      <sharedItems count="8">
        <s v="Salary"/>
        <s v="Fuel"/>
        <s v="Entertainment"/>
        <s v="Shopping"/>
        <s v="Food"/>
        <s v="Health"/>
        <s v="Transpotation"/>
        <s v="Rent Income"/>
      </sharedItems>
    </cacheField>
    <cacheField name="Category" numFmtId="0">
      <sharedItems count="2">
        <s v="Income"/>
        <s v="Expense"/>
      </sharedItems>
    </cacheField>
    <cacheField name="Remark" numFmtId="0">
      <sharedItems containsNonDate="0" containsString="0" containsBlank="1"/>
    </cacheField>
    <cacheField name="Days (Date)" numFmtId="0" databaseField="0">
      <fieldGroup base="0">
        <rangePr groupBy="days" startDate="2025-01-01T00:00:00" endDate="2025-12-08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8-12-2025"/>
        </groupItems>
      </fieldGroup>
    </cacheField>
    <cacheField name="Months (Date)" numFmtId="0" databaseField="0">
      <fieldGroup base="0">
        <rangePr groupBy="months" startDate="2025-01-01T00:00:00" endDate="2025-12-08T00:00:00"/>
        <groupItems count="14">
          <s v="&lt;01-01-2025"/>
          <s v="Jan"/>
          <s v="Feb"/>
          <s v="Mar"/>
          <s v="Apr"/>
          <s v="May"/>
          <s v="Jun"/>
          <s v="Jul"/>
          <s v="Aug"/>
          <s v="Sep"/>
          <s v="Oct"/>
          <s v="Nov"/>
          <s v="Dec"/>
          <s v="&gt;08-12-2025"/>
        </groupItems>
      </fieldGroup>
    </cacheField>
  </cacheFields>
  <extLst>
    <ext xmlns:x14="http://schemas.microsoft.com/office/spreadsheetml/2009/9/main" uri="{725AE2AE-9491-48be-B2B4-4EB974FC3084}">
      <x14:pivotCacheDefinition pivotCacheId="513392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x v="0"/>
    <x v="0"/>
    <n v="35000"/>
    <x v="0"/>
    <x v="0"/>
    <m/>
  </r>
  <r>
    <x v="1"/>
    <x v="0"/>
    <n v="600"/>
    <x v="1"/>
    <x v="1"/>
    <m/>
  </r>
  <r>
    <x v="1"/>
    <x v="0"/>
    <n v="250"/>
    <x v="2"/>
    <x v="1"/>
    <m/>
  </r>
  <r>
    <x v="2"/>
    <x v="0"/>
    <n v="3600"/>
    <x v="3"/>
    <x v="1"/>
    <m/>
  </r>
  <r>
    <x v="3"/>
    <x v="0"/>
    <n v="8000"/>
    <x v="4"/>
    <x v="1"/>
    <m/>
  </r>
  <r>
    <x v="4"/>
    <x v="0"/>
    <n v="3000"/>
    <x v="5"/>
    <x v="1"/>
    <m/>
  </r>
  <r>
    <x v="5"/>
    <x v="0"/>
    <n v="1000"/>
    <x v="2"/>
    <x v="1"/>
    <m/>
  </r>
  <r>
    <x v="6"/>
    <x v="1"/>
    <n v="35000"/>
    <x v="0"/>
    <x v="0"/>
    <m/>
  </r>
  <r>
    <x v="7"/>
    <x v="1"/>
    <n v="8500"/>
    <x v="4"/>
    <x v="1"/>
    <m/>
  </r>
  <r>
    <x v="8"/>
    <x v="1"/>
    <n v="10000"/>
    <x v="3"/>
    <x v="1"/>
    <m/>
  </r>
  <r>
    <x v="9"/>
    <x v="1"/>
    <n v="1000"/>
    <x v="1"/>
    <x v="1"/>
    <m/>
  </r>
  <r>
    <x v="10"/>
    <x v="1"/>
    <n v="2000"/>
    <x v="6"/>
    <x v="1"/>
    <m/>
  </r>
  <r>
    <x v="11"/>
    <x v="2"/>
    <n v="32000"/>
    <x v="0"/>
    <x v="0"/>
    <m/>
  </r>
  <r>
    <x v="12"/>
    <x v="2"/>
    <n v="8500"/>
    <x v="4"/>
    <x v="1"/>
    <m/>
  </r>
  <r>
    <x v="13"/>
    <x v="2"/>
    <n v="400"/>
    <x v="6"/>
    <x v="1"/>
    <m/>
  </r>
  <r>
    <x v="13"/>
    <x v="2"/>
    <n v="500"/>
    <x v="2"/>
    <x v="1"/>
    <m/>
  </r>
  <r>
    <x v="14"/>
    <x v="2"/>
    <n v="2000"/>
    <x v="7"/>
    <x v="0"/>
    <m/>
  </r>
  <r>
    <x v="15"/>
    <x v="2"/>
    <n v="3000"/>
    <x v="3"/>
    <x v="1"/>
    <m/>
  </r>
  <r>
    <x v="16"/>
    <x v="2"/>
    <n v="1575"/>
    <x v="1"/>
    <x v="1"/>
    <m/>
  </r>
  <r>
    <x v="16"/>
    <x v="2"/>
    <n v="2000"/>
    <x v="1"/>
    <x v="1"/>
    <m/>
  </r>
  <r>
    <x v="17"/>
    <x v="3"/>
    <n v="35000"/>
    <x v="0"/>
    <x v="0"/>
    <m/>
  </r>
  <r>
    <x v="18"/>
    <x v="3"/>
    <n v="1200"/>
    <x v="4"/>
    <x v="1"/>
    <m/>
  </r>
  <r>
    <x v="19"/>
    <x v="3"/>
    <n v="2800"/>
    <x v="1"/>
    <x v="1"/>
    <m/>
  </r>
  <r>
    <x v="19"/>
    <x v="3"/>
    <n v="1500"/>
    <x v="6"/>
    <x v="1"/>
    <m/>
  </r>
  <r>
    <x v="20"/>
    <x v="3"/>
    <n v="3200"/>
    <x v="2"/>
    <x v="1"/>
    <m/>
  </r>
  <r>
    <x v="21"/>
    <x v="3"/>
    <n v="1800"/>
    <x v="5"/>
    <x v="1"/>
    <m/>
  </r>
  <r>
    <x v="22"/>
    <x v="3"/>
    <n v="2600"/>
    <x v="5"/>
    <x v="1"/>
    <m/>
  </r>
  <r>
    <x v="23"/>
    <x v="3"/>
    <n v="1900"/>
    <x v="7"/>
    <x v="0"/>
    <m/>
  </r>
  <r>
    <x v="24"/>
    <x v="4"/>
    <n v="35000"/>
    <x v="0"/>
    <x v="0"/>
    <m/>
  </r>
  <r>
    <x v="25"/>
    <x v="4"/>
    <n v="8500"/>
    <x v="4"/>
    <x v="1"/>
    <m/>
  </r>
  <r>
    <x v="26"/>
    <x v="4"/>
    <n v="600"/>
    <x v="1"/>
    <x v="1"/>
    <m/>
  </r>
  <r>
    <x v="27"/>
    <x v="4"/>
    <n v="2400"/>
    <x v="6"/>
    <x v="1"/>
    <m/>
  </r>
  <r>
    <x v="27"/>
    <x v="4"/>
    <n v="3800"/>
    <x v="3"/>
    <x v="1"/>
    <m/>
  </r>
  <r>
    <x v="28"/>
    <x v="4"/>
    <n v="3000"/>
    <x v="6"/>
    <x v="1"/>
    <m/>
  </r>
  <r>
    <x v="29"/>
    <x v="4"/>
    <n v="2100"/>
    <x v="6"/>
    <x v="1"/>
    <m/>
  </r>
  <r>
    <x v="30"/>
    <x v="4"/>
    <n v="1700"/>
    <x v="2"/>
    <x v="1"/>
    <m/>
  </r>
  <r>
    <x v="31"/>
    <x v="5"/>
    <n v="35000"/>
    <x v="0"/>
    <x v="0"/>
    <m/>
  </r>
  <r>
    <x v="32"/>
    <x v="5"/>
    <n v="7800"/>
    <x v="4"/>
    <x v="1"/>
    <m/>
  </r>
  <r>
    <x v="33"/>
    <x v="5"/>
    <n v="500"/>
    <x v="1"/>
    <x v="1"/>
    <m/>
  </r>
  <r>
    <x v="34"/>
    <x v="5"/>
    <n v="2200"/>
    <x v="6"/>
    <x v="1"/>
    <m/>
  </r>
  <r>
    <x v="35"/>
    <x v="5"/>
    <n v="3600"/>
    <x v="2"/>
    <x v="1"/>
    <m/>
  </r>
  <r>
    <x v="35"/>
    <x v="5"/>
    <n v="2800"/>
    <x v="3"/>
    <x v="1"/>
    <m/>
  </r>
  <r>
    <x v="36"/>
    <x v="5"/>
    <n v="2000"/>
    <x v="3"/>
    <x v="1"/>
    <m/>
  </r>
  <r>
    <x v="37"/>
    <x v="5"/>
    <n v="1500"/>
    <x v="1"/>
    <x v="1"/>
    <m/>
  </r>
  <r>
    <x v="38"/>
    <x v="6"/>
    <n v="35000"/>
    <x v="0"/>
    <x v="0"/>
    <m/>
  </r>
  <r>
    <x v="39"/>
    <x v="6"/>
    <n v="8200"/>
    <x v="4"/>
    <x v="1"/>
    <m/>
  </r>
  <r>
    <x v="40"/>
    <x v="6"/>
    <n v="700"/>
    <x v="1"/>
    <x v="1"/>
    <m/>
  </r>
  <r>
    <x v="41"/>
    <x v="6"/>
    <n v="2500"/>
    <x v="2"/>
    <x v="1"/>
    <m/>
  </r>
  <r>
    <x v="42"/>
    <x v="6"/>
    <n v="3900"/>
    <x v="5"/>
    <x v="1"/>
    <m/>
  </r>
  <r>
    <x v="43"/>
    <x v="6"/>
    <n v="3100"/>
    <x v="3"/>
    <x v="1"/>
    <m/>
  </r>
  <r>
    <x v="43"/>
    <x v="6"/>
    <n v="2300"/>
    <x v="1"/>
    <x v="1"/>
    <m/>
  </r>
  <r>
    <x v="44"/>
    <x v="6"/>
    <n v="2700"/>
    <x v="3"/>
    <x v="1"/>
    <m/>
  </r>
  <r>
    <x v="45"/>
    <x v="6"/>
    <n v="1800"/>
    <x v="3"/>
    <x v="1"/>
    <m/>
  </r>
  <r>
    <x v="46"/>
    <x v="7"/>
    <n v="37500"/>
    <x v="0"/>
    <x v="0"/>
    <m/>
  </r>
  <r>
    <x v="47"/>
    <x v="7"/>
    <n v="9000"/>
    <x v="4"/>
    <x v="1"/>
    <m/>
  </r>
  <r>
    <x v="48"/>
    <x v="7"/>
    <n v="800"/>
    <x v="7"/>
    <x v="0"/>
    <m/>
  </r>
  <r>
    <x v="49"/>
    <x v="7"/>
    <n v="2700"/>
    <x v="3"/>
    <x v="1"/>
    <m/>
  </r>
  <r>
    <x v="50"/>
    <x v="7"/>
    <n v="4200"/>
    <x v="2"/>
    <x v="1"/>
    <m/>
  </r>
  <r>
    <x v="50"/>
    <x v="7"/>
    <n v="3400"/>
    <x v="6"/>
    <x v="1"/>
    <m/>
  </r>
  <r>
    <x v="51"/>
    <x v="7"/>
    <n v="2600"/>
    <x v="1"/>
    <x v="1"/>
    <m/>
  </r>
  <r>
    <x v="52"/>
    <x v="7"/>
    <n v="3000"/>
    <x v="2"/>
    <x v="1"/>
    <m/>
  </r>
  <r>
    <x v="53"/>
    <x v="8"/>
    <n v="37500"/>
    <x v="0"/>
    <x v="0"/>
    <m/>
  </r>
  <r>
    <x v="54"/>
    <x v="8"/>
    <n v="8800"/>
    <x v="4"/>
    <x v="1"/>
    <m/>
  </r>
  <r>
    <x v="55"/>
    <x v="8"/>
    <n v="750"/>
    <x v="7"/>
    <x v="0"/>
    <m/>
  </r>
  <r>
    <x v="56"/>
    <x v="8"/>
    <n v="2400"/>
    <x v="6"/>
    <x v="1"/>
    <m/>
  </r>
  <r>
    <x v="57"/>
    <x v="8"/>
    <n v="4100"/>
    <x v="5"/>
    <x v="1"/>
    <m/>
  </r>
  <r>
    <x v="57"/>
    <x v="8"/>
    <n v="3200"/>
    <x v="3"/>
    <x v="1"/>
    <m/>
  </r>
  <r>
    <x v="58"/>
    <x v="8"/>
    <n v="2500"/>
    <x v="3"/>
    <x v="1"/>
    <m/>
  </r>
  <r>
    <x v="59"/>
    <x v="8"/>
    <n v="2900"/>
    <x v="5"/>
    <x v="1"/>
    <m/>
  </r>
  <r>
    <x v="60"/>
    <x v="8"/>
    <n v="2100"/>
    <x v="1"/>
    <x v="1"/>
    <m/>
  </r>
  <r>
    <x v="61"/>
    <x v="9"/>
    <n v="37500"/>
    <x v="0"/>
    <x v="0"/>
    <m/>
  </r>
  <r>
    <x v="62"/>
    <x v="9"/>
    <n v="9200"/>
    <x v="4"/>
    <x v="1"/>
    <m/>
  </r>
  <r>
    <x v="63"/>
    <x v="9"/>
    <n v="900"/>
    <x v="6"/>
    <x v="1"/>
    <m/>
  </r>
  <r>
    <x v="64"/>
    <x v="9"/>
    <n v="2800"/>
    <x v="7"/>
    <x v="0"/>
    <m/>
  </r>
  <r>
    <x v="65"/>
    <x v="9"/>
    <n v="4500"/>
    <x v="2"/>
    <x v="1"/>
    <m/>
  </r>
  <r>
    <x v="65"/>
    <x v="9"/>
    <n v="3600"/>
    <x v="6"/>
    <x v="1"/>
    <m/>
  </r>
  <r>
    <x v="66"/>
    <x v="9"/>
    <n v="2700"/>
    <x v="7"/>
    <x v="0"/>
    <m/>
  </r>
  <r>
    <x v="67"/>
    <x v="9"/>
    <n v="3100"/>
    <x v="5"/>
    <x v="1"/>
    <m/>
  </r>
  <r>
    <x v="68"/>
    <x v="10"/>
    <n v="37000"/>
    <x v="0"/>
    <x v="0"/>
    <m/>
  </r>
  <r>
    <x v="69"/>
    <x v="10"/>
    <n v="8000"/>
    <x v="4"/>
    <x v="1"/>
    <m/>
  </r>
  <r>
    <x v="70"/>
    <x v="11"/>
    <n v="38000"/>
    <x v="0"/>
    <x v="0"/>
    <m/>
  </r>
  <r>
    <x v="71"/>
    <x v="11"/>
    <n v="8500"/>
    <x v="4"/>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DC33E0-017F-4F5D-B763-6973F726C3FA}" name="PivotTable11" cacheId="3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M22:N26" firstHeaderRow="2" firstDataRow="2" firstDataCol="1" rowPageCount="1" colPageCount="1"/>
  <pivotFields count="8">
    <pivotField compact="0" numFmtId="14" outline="0"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axis="axisPage" compact="0" outline="0" multipleItemSelectionAllowed="1" showAll="0">
      <items count="13">
        <item x="0"/>
        <item x="1"/>
        <item x="2"/>
        <item x="3"/>
        <item x="4"/>
        <item x="5"/>
        <item x="6"/>
        <item x="7"/>
        <item x="8"/>
        <item x="9"/>
        <item x="10"/>
        <item x="11"/>
        <item t="default"/>
      </items>
    </pivotField>
    <pivotField dataField="1" compact="0" numFmtId="3"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pageFields count="1">
    <pageField fld="1" hier="-1"/>
  </pageFields>
  <dataFields count="1">
    <dataField name="Sum of Amount" fld="2"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B87DB3-7CC3-4C11-88D7-40A63B7B7273}" name="PivotTable8" cacheId="3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J23:K27" firstHeaderRow="2" firstDataRow="2" firstDataCol="1" rowPageCount="1" colPageCount="1"/>
  <pivotFields count="8">
    <pivotField compact="0" numFmtId="14" outline="0"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outline="0" showAll="0">
      <items count="13">
        <item x="0"/>
        <item x="1"/>
        <item x="2"/>
        <item x="3"/>
        <item x="4"/>
        <item x="5"/>
        <item x="6"/>
        <item x="7"/>
        <item x="8"/>
        <item x="9"/>
        <item x="10"/>
        <item x="11"/>
        <item t="default"/>
      </items>
    </pivotField>
    <pivotField dataField="1" compact="0" numFmtId="3" outline="0" showAll="0"/>
    <pivotField axis="axisRow" compact="0" outline="0" showAll="0">
      <items count="9">
        <item x="2"/>
        <item x="4"/>
        <item x="1"/>
        <item x="5"/>
        <item x="7"/>
        <item x="0"/>
        <item x="3"/>
        <item x="6"/>
        <item t="default"/>
      </items>
    </pivotField>
    <pivotField axis="axisPage" compact="0" outline="0" showAll="0">
      <items count="3">
        <item x="1"/>
        <item x="0"/>
        <item t="default"/>
      </items>
    </pivotField>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3"/>
  </rowFields>
  <rowItems count="3">
    <i>
      <x v="4"/>
    </i>
    <i>
      <x v="5"/>
    </i>
    <i t="grand">
      <x/>
    </i>
  </rowItems>
  <colItems count="1">
    <i/>
  </colItems>
  <pageFields count="1">
    <pageField fld="4" item="1" hier="-1"/>
  </pageFields>
  <dataFields count="1">
    <dataField name="Income Sources" fld="2" baseField="3" baseItem="4" numFmtId="3"/>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 chart="3"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5B29B6-D8B6-4DFC-BEED-5EB69AA89FBF}" name="PivotTable7" cacheId="3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6">
  <location ref="M4:P18" firstHeaderRow="1" firstDataRow="2" firstDataCol="1"/>
  <pivotFields count="8">
    <pivotField compact="0" numFmtId="14" outline="0"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axis="axisRow" compact="0" outline="0" showAll="0">
      <items count="13">
        <item x="0"/>
        <item x="1"/>
        <item x="2"/>
        <item x="3"/>
        <item x="4"/>
        <item x="5"/>
        <item x="6"/>
        <item x="7"/>
        <item x="8"/>
        <item x="9"/>
        <item x="10"/>
        <item x="11"/>
        <item t="default"/>
      </items>
    </pivotField>
    <pivotField dataField="1" compact="0" numFmtId="3"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1"/>
  </rowFields>
  <rowItems count="13">
    <i>
      <x/>
    </i>
    <i>
      <x v="1"/>
    </i>
    <i>
      <x v="2"/>
    </i>
    <i>
      <x v="3"/>
    </i>
    <i>
      <x v="4"/>
    </i>
    <i>
      <x v="5"/>
    </i>
    <i>
      <x v="6"/>
    </i>
    <i>
      <x v="7"/>
    </i>
    <i>
      <x v="8"/>
    </i>
    <i>
      <x v="9"/>
    </i>
    <i>
      <x v="10"/>
    </i>
    <i>
      <x v="11"/>
    </i>
    <i t="grand">
      <x/>
    </i>
  </rowItems>
  <colFields count="1">
    <field x="4"/>
  </colFields>
  <colItems count="3">
    <i>
      <x/>
    </i>
    <i>
      <x v="1"/>
    </i>
    <i t="grand">
      <x/>
    </i>
  </colItems>
  <dataFields count="1">
    <dataField name="Sum of Amount" fld="2" baseField="0" baseItem="0" numFmtId="3"/>
  </dataFields>
  <chartFormats count="2">
    <chartFormat chart="7" format="4" series="1">
      <pivotArea type="data" outline="0" fieldPosition="0">
        <references count="2">
          <reference field="4294967294" count="1" selected="0">
            <x v="0"/>
          </reference>
          <reference field="4" count="1" selected="0">
            <x v="0"/>
          </reference>
        </references>
      </pivotArea>
    </chartFormat>
    <chartFormat chart="7"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D32B59-F0CD-4305-8BE1-9398A933F390}" name="PivotTable5" cacheId="3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5">
  <location ref="J6:K14" firstHeaderRow="2" firstDataRow="2" firstDataCol="1" rowPageCount="1" colPageCount="1"/>
  <pivotFields count="8">
    <pivotField compact="0" numFmtId="14" outline="0"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outline="0" showAll="0">
      <items count="13">
        <item x="0"/>
        <item x="1"/>
        <item x="2"/>
        <item x="3"/>
        <item x="4"/>
        <item x="5"/>
        <item x="6"/>
        <item x="7"/>
        <item x="8"/>
        <item x="9"/>
        <item x="10"/>
        <item x="11"/>
        <item t="default"/>
      </items>
    </pivotField>
    <pivotField dataField="1" compact="0" numFmtId="3" outline="0" showAll="0"/>
    <pivotField axis="axisRow" compact="0" outline="0" showAll="0">
      <items count="9">
        <item x="2"/>
        <item x="4"/>
        <item x="1"/>
        <item x="5"/>
        <item x="7"/>
        <item x="0"/>
        <item x="3"/>
        <item x="6"/>
        <item t="default"/>
      </items>
    </pivotField>
    <pivotField axis="axisPage" compact="0" outline="0" showAll="0">
      <items count="3">
        <item x="1"/>
        <item x="0"/>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3"/>
  </rowFields>
  <rowItems count="7">
    <i>
      <x/>
    </i>
    <i>
      <x v="1"/>
    </i>
    <i>
      <x v="2"/>
    </i>
    <i>
      <x v="3"/>
    </i>
    <i>
      <x v="6"/>
    </i>
    <i>
      <x v="7"/>
    </i>
    <i t="grand">
      <x/>
    </i>
  </rowItems>
  <colItems count="1">
    <i/>
  </colItems>
  <pageFields count="1">
    <pageField fld="4" item="0" hier="-1"/>
  </pageFields>
  <dataFields count="1">
    <dataField name="Item wise Expense" fld="2" baseField="3"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B018D6-C187-420E-9086-73C0664A860D}" name="PivotTable3" cacheId="3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3:E4" firstHeaderRow="1" firstDataRow="1" firstDataCol="1" rowPageCount="1" colPageCount="1"/>
  <pivotFields count="8">
    <pivotField compact="0" numFmtId="14" outline="0"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outline="0" showAll="0">
      <items count="13">
        <item x="0"/>
        <item x="1"/>
        <item x="2"/>
        <item x="3"/>
        <item x="4"/>
        <item x="5"/>
        <item x="6"/>
        <item x="7"/>
        <item x="8"/>
        <item x="9"/>
        <item x="10"/>
        <item x="11"/>
        <item t="default"/>
      </items>
    </pivotField>
    <pivotField dataField="1" compact="0" numFmtId="3" outline="0" showAll="0"/>
    <pivotField compact="0" outline="0" showAll="0"/>
    <pivotField axis="axisPage" compact="0" outline="0" multipleItemSelectionAllowed="1" showAll="0">
      <items count="3">
        <item x="1"/>
        <item h="1" x="0"/>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Items count="1">
    <i/>
  </rowItems>
  <colItems count="1">
    <i/>
  </colItems>
  <pageFields count="1">
    <pageField fld="4" hier="-1"/>
  </pageFields>
  <dataFields count="1">
    <dataField name="Total Expense" fld="2" baseField="0" baseItem="0" numFmtId="3"/>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1959FD-320C-4E17-A311-5B898BBC1F0A}" name="PivotTable2" cacheId="3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4" firstHeaderRow="1" firstDataRow="1" firstDataCol="1" rowPageCount="1" colPageCount="1"/>
  <pivotFields count="8">
    <pivotField compact="0" numFmtId="14" outline="0"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compact="0" outline="0" showAll="0">
      <items count="13">
        <item x="0"/>
        <item x="1"/>
        <item x="2"/>
        <item x="3"/>
        <item x="4"/>
        <item x="5"/>
        <item x="6"/>
        <item x="7"/>
        <item x="8"/>
        <item x="9"/>
        <item x="10"/>
        <item x="11"/>
        <item t="default"/>
      </items>
    </pivotField>
    <pivotField dataField="1" compact="0" numFmtId="3" outline="0" showAll="0"/>
    <pivotField compact="0" outline="0" showAll="0"/>
    <pivotField axis="axisPage" compact="0" outline="0" showAll="0">
      <items count="3">
        <item x="1"/>
        <item x="0"/>
        <item t="default"/>
      </items>
    </pivotField>
    <pivotField compact="0" outline="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Items count="1">
    <i/>
  </rowItems>
  <colItems count="1">
    <i/>
  </colItems>
  <pageFields count="1">
    <pageField fld="4" item="1" hier="-1"/>
  </pageFields>
  <dataFields count="1">
    <dataField name="Total Income" fld="2" baseField="0" baseItem="0" numFmtId="3"/>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977667-678A-425E-A313-9D61CB2A5A45}" sourceName="Month">
  <pivotTables>
    <pivotTable tabId="4" name="PivotTable5"/>
    <pivotTable tabId="4" name="PivotTable2"/>
    <pivotTable tabId="4" name="PivotTable3"/>
    <pivotTable tabId="4" name="PivotTable8"/>
    <pivotTable tabId="4" name="PivotTable11"/>
  </pivotTables>
  <data>
    <tabular pivotCacheId="51339253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7BBF4EB-8B48-4F77-8532-13C0CC6D8DD5}" cache="Slicer_Month" caption="Month" columnCount="6"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EF6240-0462-4FF0-B473-50981F240CBA}" name="Table1" displayName="Table1" ref="B4:G86" totalsRowShown="0">
  <autoFilter ref="B4:G86" xr:uid="{D6EF6240-0462-4FF0-B473-50981F240CBA}"/>
  <tableColumns count="6">
    <tableColumn id="1" xr3:uid="{0F97C0CF-7E02-4F9D-B6EE-FC2CDBBBB603}" name="Date"/>
    <tableColumn id="2" xr3:uid="{BD55B372-9BEF-44CF-808B-19C6A12BF72E}" name="Month" dataDxfId="3">
      <calculatedColumnFormula>TEXT(Table1[[#This Row],[Date]],"MMMM")</calculatedColumnFormula>
    </tableColumn>
    <tableColumn id="3" xr3:uid="{540E7564-4A9A-4999-8CCB-DB0B377A0669}" name="Amount" dataDxfId="2"/>
    <tableColumn id="4" xr3:uid="{8FAD91EF-62EF-42B5-9B1A-515A711B1FBE}" name="Item "/>
    <tableColumn id="5" xr3:uid="{693D6259-D252-4F14-B730-0BA3E3938660}" name="Category" dataDxfId="1">
      <calculatedColumnFormula>VLOOKUP(Table1[[#This Row],[Item ]],Table2[],2,)</calculatedColumnFormula>
    </tableColumn>
    <tableColumn id="6" xr3:uid="{A703BFC4-83CC-47FA-9E7D-F45E4512038D}" name="Remar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AC8D2D-02A2-447B-900E-09C232CF58EF}" name="Table2" displayName="Table2" ref="K7:L17" totalsRowShown="0">
  <tableColumns count="2">
    <tableColumn id="1" xr3:uid="{3EB4D370-21A3-478B-88F1-CC70AFBC79C1}" name="Item "/>
    <tableColumn id="2" xr3:uid="{6261ABBF-ADD2-4FE0-9F2C-D62E433B8781}" name="Category"/>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DA0A28-8892-489F-A960-934702527031}" name="Table3" displayName="Table3" ref="A3:F11" totalsRowShown="0">
  <autoFilter ref="A3:F11" xr:uid="{BADA0A28-8892-489F-A960-934702527031}"/>
  <tableColumns count="6">
    <tableColumn id="1" xr3:uid="{A80CB389-D3FB-49D6-9E0A-9313D8EB6524}" name="Date" dataDxfId="0"/>
    <tableColumn id="2" xr3:uid="{D9C65F31-E40D-44FF-A075-9973D1764B4A}" name="Month"/>
    <tableColumn id="3" xr3:uid="{2DC34357-7C98-4B5F-9FE0-AC3C2B3ED2A9}" name="Amount"/>
    <tableColumn id="4" xr3:uid="{2DAAA611-A2AF-49AD-B615-6265B97068CC}" name="Item "/>
    <tableColumn id="5" xr3:uid="{F1224FA1-CA1C-4FCE-AB24-73CB9897A8EC}" name="Category"/>
    <tableColumn id="6" xr3:uid="{69D16DDB-6F97-4E73-903C-DC825613BF76}" name="Remar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D306-BED2-4795-99D2-76374F12BB28}">
  <dimension ref="B2:L86"/>
  <sheetViews>
    <sheetView topLeftCell="A5" workbookViewId="0">
      <selection activeCell="B19" sqref="B19"/>
    </sheetView>
  </sheetViews>
  <sheetFormatPr defaultRowHeight="14.4" x14ac:dyDescent="0.3"/>
  <cols>
    <col min="2" max="2" width="16.33203125" customWidth="1"/>
    <col min="3" max="3" width="11.109375" customWidth="1"/>
    <col min="4" max="4" width="14.44140625" style="2" customWidth="1"/>
    <col min="5" max="5" width="23.44140625" customWidth="1"/>
    <col min="6" max="6" width="16.77734375" customWidth="1"/>
    <col min="7" max="7" width="16.33203125" customWidth="1"/>
    <col min="11" max="11" width="12.33203125" customWidth="1"/>
    <col min="12" max="12" width="10.44140625" customWidth="1"/>
  </cols>
  <sheetData>
    <row r="2" spans="2:12" x14ac:dyDescent="0.3">
      <c r="B2" t="s">
        <v>0</v>
      </c>
    </row>
    <row r="4" spans="2:12" x14ac:dyDescent="0.3">
      <c r="B4" t="s">
        <v>1</v>
      </c>
      <c r="C4" t="s">
        <v>2</v>
      </c>
      <c r="D4" s="2" t="s">
        <v>3</v>
      </c>
      <c r="E4" t="s">
        <v>4</v>
      </c>
      <c r="F4" t="s">
        <v>5</v>
      </c>
      <c r="G4" t="s">
        <v>6</v>
      </c>
    </row>
    <row r="5" spans="2:12" x14ac:dyDescent="0.3">
      <c r="B5" s="1">
        <v>45658</v>
      </c>
      <c r="C5" t="str">
        <f>TEXT(Table1[[#This Row],[Date]],"MMMM")</f>
        <v>January</v>
      </c>
      <c r="D5" s="2">
        <v>35000</v>
      </c>
      <c r="E5" t="s">
        <v>7</v>
      </c>
      <c r="F5" t="str">
        <f>VLOOKUP(Table1[[#This Row],[Item ]],Table2[],2,)</f>
        <v>Income</v>
      </c>
    </row>
    <row r="6" spans="2:12" x14ac:dyDescent="0.3">
      <c r="B6" s="1">
        <v>45660</v>
      </c>
      <c r="C6" t="str">
        <f>TEXT(Table1[[#This Row],[Date]],"MMMM")</f>
        <v>January</v>
      </c>
      <c r="D6" s="2">
        <v>600</v>
      </c>
      <c r="E6" t="s">
        <v>12</v>
      </c>
      <c r="F6" t="str">
        <f>VLOOKUP(Table1[[#This Row],[Item ]],Table2[],2,)</f>
        <v>Expense</v>
      </c>
    </row>
    <row r="7" spans="2:12" x14ac:dyDescent="0.3">
      <c r="B7" s="1">
        <v>45660</v>
      </c>
      <c r="C7" t="str">
        <f>TEXT(Table1[[#This Row],[Date]],"MMMM")</f>
        <v>January</v>
      </c>
      <c r="D7" s="2">
        <v>250</v>
      </c>
      <c r="E7" t="s">
        <v>16</v>
      </c>
      <c r="F7" t="str">
        <f>VLOOKUP(Table1[[#This Row],[Item ]],Table2[],2,)</f>
        <v>Expense</v>
      </c>
      <c r="K7" t="s">
        <v>4</v>
      </c>
      <c r="L7" t="s">
        <v>5</v>
      </c>
    </row>
    <row r="8" spans="2:12" x14ac:dyDescent="0.3">
      <c r="B8" s="1">
        <v>45667</v>
      </c>
      <c r="C8" t="str">
        <f>TEXT(Table1[[#This Row],[Date]],"MMMM")</f>
        <v>January</v>
      </c>
      <c r="D8" s="2">
        <v>3600</v>
      </c>
      <c r="E8" t="s">
        <v>10</v>
      </c>
      <c r="F8" t="str">
        <f>VLOOKUP(Table1[[#This Row],[Item ]],Table2[],2,)</f>
        <v>Expense</v>
      </c>
      <c r="K8" t="s">
        <v>7</v>
      </c>
      <c r="L8" t="s">
        <v>9</v>
      </c>
    </row>
    <row r="9" spans="2:12" x14ac:dyDescent="0.3">
      <c r="B9" s="1">
        <v>45668</v>
      </c>
      <c r="C9" t="str">
        <f>TEXT(Table1[[#This Row],[Date]],"MMMM")</f>
        <v>January</v>
      </c>
      <c r="D9" s="2">
        <v>8000</v>
      </c>
      <c r="E9" t="s">
        <v>11</v>
      </c>
      <c r="F9" t="str">
        <f>VLOOKUP(Table1[[#This Row],[Item ]],Table2[],2,)</f>
        <v>Expense</v>
      </c>
      <c r="K9" t="s">
        <v>8</v>
      </c>
      <c r="L9" t="s">
        <v>9</v>
      </c>
    </row>
    <row r="10" spans="2:12" x14ac:dyDescent="0.3">
      <c r="B10" s="1">
        <v>45669</v>
      </c>
      <c r="C10" t="str">
        <f>TEXT(Table1[[#This Row],[Date]],"MMMM")</f>
        <v>January</v>
      </c>
      <c r="D10" s="2">
        <v>3000</v>
      </c>
      <c r="E10" t="s">
        <v>14</v>
      </c>
      <c r="F10" t="str">
        <f>VLOOKUP(Table1[[#This Row],[Item ]],Table2[],2,)</f>
        <v>Expense</v>
      </c>
      <c r="K10" t="s">
        <v>10</v>
      </c>
      <c r="L10" t="s">
        <v>15</v>
      </c>
    </row>
    <row r="11" spans="2:12" x14ac:dyDescent="0.3">
      <c r="B11" s="1">
        <v>45676</v>
      </c>
      <c r="C11" t="str">
        <f>TEXT(Table1[[#This Row],[Date]],"MMMM")</f>
        <v>January</v>
      </c>
      <c r="D11" s="2">
        <v>1000</v>
      </c>
      <c r="E11" t="s">
        <v>16</v>
      </c>
      <c r="F11" t="str">
        <f>VLOOKUP(Table1[[#This Row],[Item ]],Table2[],2,)</f>
        <v>Expense</v>
      </c>
      <c r="K11" t="s">
        <v>11</v>
      </c>
      <c r="L11" t="s">
        <v>15</v>
      </c>
    </row>
    <row r="12" spans="2:12" x14ac:dyDescent="0.3">
      <c r="B12" s="1">
        <v>45689</v>
      </c>
      <c r="C12" t="str">
        <f>TEXT(Table1[[#This Row],[Date]],"MMMM")</f>
        <v>February</v>
      </c>
      <c r="D12" s="2">
        <v>35000</v>
      </c>
      <c r="E12" t="s">
        <v>7</v>
      </c>
      <c r="F12" t="str">
        <f>VLOOKUP(Table1[[#This Row],[Item ]],Table2[],2,)</f>
        <v>Income</v>
      </c>
      <c r="K12" t="s">
        <v>12</v>
      </c>
      <c r="L12" t="s">
        <v>15</v>
      </c>
    </row>
    <row r="13" spans="2:12" x14ac:dyDescent="0.3">
      <c r="B13" s="1">
        <v>45691</v>
      </c>
      <c r="C13" t="str">
        <f>TEXT(Table1[[#This Row],[Date]],"MMMM")</f>
        <v>February</v>
      </c>
      <c r="D13" s="2">
        <v>8500</v>
      </c>
      <c r="E13" t="s">
        <v>11</v>
      </c>
      <c r="F13" t="str">
        <f>VLOOKUP(Table1[[#This Row],[Item ]],Table2[],2,)</f>
        <v>Expense</v>
      </c>
      <c r="K13" t="s">
        <v>13</v>
      </c>
      <c r="L13" t="s">
        <v>15</v>
      </c>
    </row>
    <row r="14" spans="2:12" x14ac:dyDescent="0.3">
      <c r="B14" s="1">
        <v>45698</v>
      </c>
      <c r="C14" t="str">
        <f>TEXT(Table1[[#This Row],[Date]],"MMMM")</f>
        <v>February</v>
      </c>
      <c r="D14" s="2">
        <v>10000</v>
      </c>
      <c r="E14" t="s">
        <v>10</v>
      </c>
      <c r="F14" t="str">
        <f>VLOOKUP(Table1[[#This Row],[Item ]],Table2[],2,)</f>
        <v>Expense</v>
      </c>
      <c r="K14" t="s">
        <v>14</v>
      </c>
      <c r="L14" t="s">
        <v>15</v>
      </c>
    </row>
    <row r="15" spans="2:12" x14ac:dyDescent="0.3">
      <c r="B15" s="1">
        <v>45710</v>
      </c>
      <c r="C15" t="str">
        <f>TEXT(Table1[[#This Row],[Date]],"MMMM")</f>
        <v>February</v>
      </c>
      <c r="D15" s="2">
        <v>1000</v>
      </c>
      <c r="E15" t="s">
        <v>12</v>
      </c>
      <c r="F15" t="str">
        <f>VLOOKUP(Table1[[#This Row],[Item ]],Table2[],2,)</f>
        <v>Expense</v>
      </c>
      <c r="K15" t="s">
        <v>16</v>
      </c>
      <c r="L15" t="s">
        <v>15</v>
      </c>
    </row>
    <row r="16" spans="2:12" x14ac:dyDescent="0.3">
      <c r="B16" s="1">
        <v>45716</v>
      </c>
      <c r="C16" t="str">
        <f>TEXT(Table1[[#This Row],[Date]],"MMMM")</f>
        <v>February</v>
      </c>
      <c r="D16" s="2">
        <v>2000</v>
      </c>
      <c r="E16" t="s">
        <v>13</v>
      </c>
      <c r="F16" t="str">
        <f>VLOOKUP(Table1[[#This Row],[Item ]],Table2[],2,)</f>
        <v>Expense</v>
      </c>
    </row>
    <row r="17" spans="2:6" x14ac:dyDescent="0.3">
      <c r="B17" s="1">
        <v>45718</v>
      </c>
      <c r="C17" t="str">
        <f>TEXT(Table1[[#This Row],[Date]],"MMMM")</f>
        <v>March</v>
      </c>
      <c r="D17" s="2">
        <v>32000</v>
      </c>
      <c r="E17" t="s">
        <v>7</v>
      </c>
      <c r="F17" t="str">
        <f>VLOOKUP(Table1[[#This Row],[Item ]],Table2[],2,)</f>
        <v>Income</v>
      </c>
    </row>
    <row r="18" spans="2:6" x14ac:dyDescent="0.3">
      <c r="B18" s="1">
        <v>45726</v>
      </c>
      <c r="C18" t="str">
        <f>TEXT(Table1[[#This Row],[Date]],"MMMM")</f>
        <v>March</v>
      </c>
      <c r="D18" s="2">
        <v>8500</v>
      </c>
      <c r="E18" t="s">
        <v>11</v>
      </c>
      <c r="F18" t="str">
        <f>VLOOKUP(Table1[[#This Row],[Item ]],Table2[],2,)</f>
        <v>Expense</v>
      </c>
    </row>
    <row r="19" spans="2:6" x14ac:dyDescent="0.3">
      <c r="B19" s="1">
        <v>45727</v>
      </c>
      <c r="C19" t="str">
        <f>TEXT(Table1[[#This Row],[Date]],"MMMM")</f>
        <v>March</v>
      </c>
      <c r="D19" s="2">
        <v>400</v>
      </c>
      <c r="E19" t="s">
        <v>13</v>
      </c>
      <c r="F19" t="str">
        <f>VLOOKUP(Table1[[#This Row],[Item ]],Table2[],2,)</f>
        <v>Expense</v>
      </c>
    </row>
    <row r="20" spans="2:6" x14ac:dyDescent="0.3">
      <c r="B20" s="1">
        <v>45727</v>
      </c>
      <c r="C20" t="str">
        <f>TEXT(Table1[[#This Row],[Date]],"MMMM")</f>
        <v>March</v>
      </c>
      <c r="D20" s="2">
        <v>500</v>
      </c>
      <c r="E20" t="s">
        <v>16</v>
      </c>
      <c r="F20" t="str">
        <f>VLOOKUP(Table1[[#This Row],[Item ]],Table2[],2,)</f>
        <v>Expense</v>
      </c>
    </row>
    <row r="21" spans="2:6" x14ac:dyDescent="0.3">
      <c r="B21" s="1">
        <v>45731</v>
      </c>
      <c r="C21" t="str">
        <f>TEXT(Table1[[#This Row],[Date]],"MMMM")</f>
        <v>March</v>
      </c>
      <c r="D21" s="2">
        <v>2000</v>
      </c>
      <c r="E21" t="s">
        <v>8</v>
      </c>
      <c r="F21" t="str">
        <f>VLOOKUP(Table1[[#This Row],[Item ]],Table2[],2,)</f>
        <v>Income</v>
      </c>
    </row>
    <row r="22" spans="2:6" x14ac:dyDescent="0.3">
      <c r="B22" s="1">
        <v>45736</v>
      </c>
      <c r="C22" t="str">
        <f>TEXT(Table1[[#This Row],[Date]],"MMMM")</f>
        <v>March</v>
      </c>
      <c r="D22" s="2">
        <v>3000</v>
      </c>
      <c r="E22" t="s">
        <v>10</v>
      </c>
      <c r="F22" t="str">
        <f>VLOOKUP(Table1[[#This Row],[Item ]],Table2[],2,)</f>
        <v>Expense</v>
      </c>
    </row>
    <row r="23" spans="2:6" x14ac:dyDescent="0.3">
      <c r="B23" s="1">
        <v>45739</v>
      </c>
      <c r="C23" t="str">
        <f>TEXT(Table1[[#This Row],[Date]],"MMMM")</f>
        <v>March</v>
      </c>
      <c r="D23" s="2">
        <v>1575</v>
      </c>
      <c r="E23" t="s">
        <v>12</v>
      </c>
      <c r="F23" t="str">
        <f>VLOOKUP(Table1[[#This Row],[Item ]],Table2[],2,)</f>
        <v>Expense</v>
      </c>
    </row>
    <row r="24" spans="2:6" x14ac:dyDescent="0.3">
      <c r="B24" s="1">
        <v>45739</v>
      </c>
      <c r="C24" t="str">
        <f>TEXT(Table1[[#This Row],[Date]],"MMMM")</f>
        <v>March</v>
      </c>
      <c r="D24" s="2">
        <v>2000</v>
      </c>
      <c r="E24" t="s">
        <v>12</v>
      </c>
      <c r="F24" t="str">
        <f>VLOOKUP(Table1[[#This Row],[Item ]],Table2[],2,)</f>
        <v>Expense</v>
      </c>
    </row>
    <row r="25" spans="2:6" x14ac:dyDescent="0.3">
      <c r="B25" s="1">
        <v>45749</v>
      </c>
      <c r="C25" t="str">
        <f>TEXT(Table1[[#This Row],[Date]],"MMMM")</f>
        <v>April</v>
      </c>
      <c r="D25" s="2">
        <v>35000</v>
      </c>
      <c r="E25" t="s">
        <v>7</v>
      </c>
      <c r="F25" t="str">
        <f>VLOOKUP(Table1[[#This Row],[Item ]],Table2[],2,)</f>
        <v>Income</v>
      </c>
    </row>
    <row r="26" spans="2:6" x14ac:dyDescent="0.3">
      <c r="B26" s="1">
        <v>45752</v>
      </c>
      <c r="C26" t="str">
        <f>TEXT(Table1[[#This Row],[Date]],"MMMM")</f>
        <v>April</v>
      </c>
      <c r="D26" s="2">
        <v>1200</v>
      </c>
      <c r="E26" t="s">
        <v>11</v>
      </c>
      <c r="F26" t="str">
        <f>VLOOKUP(Table1[[#This Row],[Item ]],Table2[],2,)</f>
        <v>Expense</v>
      </c>
    </row>
    <row r="27" spans="2:6" x14ac:dyDescent="0.3">
      <c r="B27" s="1">
        <v>45756</v>
      </c>
      <c r="C27" t="str">
        <f>TEXT(Table1[[#This Row],[Date]],"MMMM")</f>
        <v>April</v>
      </c>
      <c r="D27" s="2">
        <v>2800</v>
      </c>
      <c r="E27" t="s">
        <v>12</v>
      </c>
      <c r="F27" t="str">
        <f>VLOOKUP(Table1[[#This Row],[Item ]],Table2[],2,)</f>
        <v>Expense</v>
      </c>
    </row>
    <row r="28" spans="2:6" x14ac:dyDescent="0.3">
      <c r="B28" s="1">
        <v>45756</v>
      </c>
      <c r="C28" t="str">
        <f>TEXT(Table1[[#This Row],[Date]],"MMMM")</f>
        <v>April</v>
      </c>
      <c r="D28" s="2">
        <v>1500</v>
      </c>
      <c r="E28" t="s">
        <v>13</v>
      </c>
      <c r="F28" t="str">
        <f>VLOOKUP(Table1[[#This Row],[Item ]],Table2[],2,)</f>
        <v>Expense</v>
      </c>
    </row>
    <row r="29" spans="2:6" x14ac:dyDescent="0.3">
      <c r="B29" s="1">
        <v>45761</v>
      </c>
      <c r="C29" t="str">
        <f>TEXT(Table1[[#This Row],[Date]],"MMMM")</f>
        <v>April</v>
      </c>
      <c r="D29" s="2">
        <v>3200</v>
      </c>
      <c r="E29" t="s">
        <v>16</v>
      </c>
      <c r="F29" t="str">
        <f>VLOOKUP(Table1[[#This Row],[Item ]],Table2[],2,)</f>
        <v>Expense</v>
      </c>
    </row>
    <row r="30" spans="2:6" x14ac:dyDescent="0.3">
      <c r="B30" s="1">
        <v>45765</v>
      </c>
      <c r="C30" t="str">
        <f>TEXT(Table1[[#This Row],[Date]],"MMMM")</f>
        <v>April</v>
      </c>
      <c r="D30" s="2">
        <v>1800</v>
      </c>
      <c r="E30" t="s">
        <v>14</v>
      </c>
      <c r="F30" t="str">
        <f>VLOOKUP(Table1[[#This Row],[Item ]],Table2[],2,)</f>
        <v>Expense</v>
      </c>
    </row>
    <row r="31" spans="2:6" x14ac:dyDescent="0.3">
      <c r="B31" s="1">
        <v>45769</v>
      </c>
      <c r="C31" t="str">
        <f>TEXT(Table1[[#This Row],[Date]],"MMMM")</f>
        <v>April</v>
      </c>
      <c r="D31" s="2">
        <v>2600</v>
      </c>
      <c r="E31" t="s">
        <v>14</v>
      </c>
      <c r="F31" t="str">
        <f>VLOOKUP(Table1[[#This Row],[Item ]],Table2[],2,)</f>
        <v>Expense</v>
      </c>
    </row>
    <row r="32" spans="2:6" x14ac:dyDescent="0.3">
      <c r="B32" s="1">
        <v>45774</v>
      </c>
      <c r="C32" t="str">
        <f>TEXT(Table1[[#This Row],[Date]],"MMMM")</f>
        <v>April</v>
      </c>
      <c r="D32" s="2">
        <v>1900</v>
      </c>
      <c r="E32" t="s">
        <v>8</v>
      </c>
      <c r="F32" t="str">
        <f>VLOOKUP(Table1[[#This Row],[Item ]],Table2[],2,)</f>
        <v>Income</v>
      </c>
    </row>
    <row r="33" spans="2:6" x14ac:dyDescent="0.3">
      <c r="B33" s="1">
        <v>45780</v>
      </c>
      <c r="C33" t="str">
        <f>TEXT(Table1[[#This Row],[Date]],"MMMM")</f>
        <v>May</v>
      </c>
      <c r="D33" s="2">
        <v>35000</v>
      </c>
      <c r="E33" t="s">
        <v>7</v>
      </c>
      <c r="F33" t="str">
        <f>VLOOKUP(Table1[[#This Row],[Item ]],Table2[],2,)</f>
        <v>Income</v>
      </c>
    </row>
    <row r="34" spans="2:6" x14ac:dyDescent="0.3">
      <c r="B34" s="1">
        <v>45783</v>
      </c>
      <c r="C34" t="str">
        <f>TEXT(Table1[[#This Row],[Date]],"MMMM")</f>
        <v>May</v>
      </c>
      <c r="D34" s="2">
        <v>8500</v>
      </c>
      <c r="E34" t="s">
        <v>11</v>
      </c>
      <c r="F34" t="str">
        <f>VLOOKUP(Table1[[#This Row],[Item ]],Table2[],2,)</f>
        <v>Expense</v>
      </c>
    </row>
    <row r="35" spans="2:6" x14ac:dyDescent="0.3">
      <c r="B35" s="1">
        <v>45788</v>
      </c>
      <c r="C35" t="str">
        <f>TEXT(Table1[[#This Row],[Date]],"MMMM")</f>
        <v>May</v>
      </c>
      <c r="D35" s="2">
        <v>600</v>
      </c>
      <c r="E35" t="s">
        <v>12</v>
      </c>
      <c r="F35" t="str">
        <f>VLOOKUP(Table1[[#This Row],[Item ]],Table2[],2,)</f>
        <v>Expense</v>
      </c>
    </row>
    <row r="36" spans="2:6" x14ac:dyDescent="0.3">
      <c r="B36" s="1">
        <v>45792</v>
      </c>
      <c r="C36" t="str">
        <f>TEXT(Table1[[#This Row],[Date]],"MMMM")</f>
        <v>May</v>
      </c>
      <c r="D36" s="2">
        <v>2400</v>
      </c>
      <c r="E36" t="s">
        <v>13</v>
      </c>
      <c r="F36" t="str">
        <f>VLOOKUP(Table1[[#This Row],[Item ]],Table2[],2,)</f>
        <v>Expense</v>
      </c>
    </row>
    <row r="37" spans="2:6" x14ac:dyDescent="0.3">
      <c r="B37" s="1">
        <v>45792</v>
      </c>
      <c r="C37" t="str">
        <f>TEXT(Table1[[#This Row],[Date]],"MMMM")</f>
        <v>May</v>
      </c>
      <c r="D37" s="2">
        <v>3800</v>
      </c>
      <c r="E37" t="s">
        <v>10</v>
      </c>
      <c r="F37" t="str">
        <f>VLOOKUP(Table1[[#This Row],[Item ]],Table2[],2,)</f>
        <v>Expense</v>
      </c>
    </row>
    <row r="38" spans="2:6" x14ac:dyDescent="0.3">
      <c r="B38" s="1">
        <v>45796</v>
      </c>
      <c r="C38" t="str">
        <f>TEXT(Table1[[#This Row],[Date]],"MMMM")</f>
        <v>May</v>
      </c>
      <c r="D38" s="2">
        <v>3000</v>
      </c>
      <c r="E38" t="s">
        <v>13</v>
      </c>
      <c r="F38" t="str">
        <f>VLOOKUP(Table1[[#This Row],[Item ]],Table2[],2,)</f>
        <v>Expense</v>
      </c>
    </row>
    <row r="39" spans="2:6" x14ac:dyDescent="0.3">
      <c r="B39" s="1">
        <v>45801</v>
      </c>
      <c r="C39" t="str">
        <f>TEXT(Table1[[#This Row],[Date]],"MMMM")</f>
        <v>May</v>
      </c>
      <c r="D39" s="2">
        <v>2100</v>
      </c>
      <c r="E39" t="s">
        <v>13</v>
      </c>
      <c r="F39" t="str">
        <f>VLOOKUP(Table1[[#This Row],[Item ]],Table2[],2,)</f>
        <v>Expense</v>
      </c>
    </row>
    <row r="40" spans="2:6" x14ac:dyDescent="0.3">
      <c r="B40" s="1">
        <v>45807</v>
      </c>
      <c r="C40" t="str">
        <f>TEXT(Table1[[#This Row],[Date]],"MMMM")</f>
        <v>May</v>
      </c>
      <c r="D40" s="2">
        <v>1700</v>
      </c>
      <c r="E40" t="s">
        <v>16</v>
      </c>
      <c r="F40" t="str">
        <f>VLOOKUP(Table1[[#This Row],[Item ]],Table2[],2,)</f>
        <v>Expense</v>
      </c>
    </row>
    <row r="41" spans="2:6" x14ac:dyDescent="0.3">
      <c r="B41" s="1">
        <v>45809</v>
      </c>
      <c r="C41" t="str">
        <f>TEXT(Table1[[#This Row],[Date]],"MMMM")</f>
        <v>June</v>
      </c>
      <c r="D41" s="2">
        <v>35000</v>
      </c>
      <c r="E41" t="s">
        <v>7</v>
      </c>
      <c r="F41" t="str">
        <f>VLOOKUP(Table1[[#This Row],[Item ]],Table2[],2,)</f>
        <v>Income</v>
      </c>
    </row>
    <row r="42" spans="2:6" x14ac:dyDescent="0.3">
      <c r="B42" s="1">
        <v>45812</v>
      </c>
      <c r="C42" t="str">
        <f>TEXT(Table1[[#This Row],[Date]],"MMMM")</f>
        <v>June</v>
      </c>
      <c r="D42" s="2">
        <v>7800</v>
      </c>
      <c r="E42" t="s">
        <v>11</v>
      </c>
      <c r="F42" t="str">
        <f>VLOOKUP(Table1[[#This Row],[Item ]],Table2[],2,)</f>
        <v>Expense</v>
      </c>
    </row>
    <row r="43" spans="2:6" x14ac:dyDescent="0.3">
      <c r="B43" s="1">
        <v>45816</v>
      </c>
      <c r="C43" t="str">
        <f>TEXT(Table1[[#This Row],[Date]],"MMMM")</f>
        <v>June</v>
      </c>
      <c r="D43" s="2">
        <v>500</v>
      </c>
      <c r="E43" t="s">
        <v>12</v>
      </c>
      <c r="F43" t="str">
        <f>VLOOKUP(Table1[[#This Row],[Item ]],Table2[],2,)</f>
        <v>Expense</v>
      </c>
    </row>
    <row r="44" spans="2:6" x14ac:dyDescent="0.3">
      <c r="B44" s="1">
        <v>45820</v>
      </c>
      <c r="C44" t="str">
        <f>TEXT(Table1[[#This Row],[Date]],"MMMM")</f>
        <v>June</v>
      </c>
      <c r="D44" s="2">
        <v>2200</v>
      </c>
      <c r="E44" t="s">
        <v>13</v>
      </c>
      <c r="F44" t="str">
        <f>VLOOKUP(Table1[[#This Row],[Item ]],Table2[],2,)</f>
        <v>Expense</v>
      </c>
    </row>
    <row r="45" spans="2:6" x14ac:dyDescent="0.3">
      <c r="B45" s="1">
        <v>45825</v>
      </c>
      <c r="C45" t="str">
        <f>TEXT(Table1[[#This Row],[Date]],"MMMM")</f>
        <v>June</v>
      </c>
      <c r="D45" s="2">
        <v>3600</v>
      </c>
      <c r="E45" t="s">
        <v>16</v>
      </c>
      <c r="F45" t="str">
        <f>VLOOKUP(Table1[[#This Row],[Item ]],Table2[],2,)</f>
        <v>Expense</v>
      </c>
    </row>
    <row r="46" spans="2:6" x14ac:dyDescent="0.3">
      <c r="B46" s="1">
        <v>45825</v>
      </c>
      <c r="C46" t="str">
        <f>TEXT(Table1[[#This Row],[Date]],"MMMM")</f>
        <v>June</v>
      </c>
      <c r="D46" s="2">
        <v>2800</v>
      </c>
      <c r="E46" t="s">
        <v>10</v>
      </c>
      <c r="F46" t="str">
        <f>VLOOKUP(Table1[[#This Row],[Item ]],Table2[],2,)</f>
        <v>Expense</v>
      </c>
    </row>
    <row r="47" spans="2:6" x14ac:dyDescent="0.3">
      <c r="B47" s="1">
        <v>45829</v>
      </c>
      <c r="C47" t="str">
        <f>TEXT(Table1[[#This Row],[Date]],"MMMM")</f>
        <v>June</v>
      </c>
      <c r="D47" s="2">
        <v>2000</v>
      </c>
      <c r="E47" t="s">
        <v>10</v>
      </c>
      <c r="F47" t="str">
        <f>VLOOKUP(Table1[[#This Row],[Item ]],Table2[],2,)</f>
        <v>Expense</v>
      </c>
    </row>
    <row r="48" spans="2:6" x14ac:dyDescent="0.3">
      <c r="B48" s="1">
        <v>45836</v>
      </c>
      <c r="C48" t="str">
        <f>TEXT(Table1[[#This Row],[Date]],"MMMM")</f>
        <v>June</v>
      </c>
      <c r="D48" s="2">
        <v>1500</v>
      </c>
      <c r="E48" t="s">
        <v>12</v>
      </c>
      <c r="F48" t="str">
        <f>VLOOKUP(Table1[[#This Row],[Item ]],Table2[],2,)</f>
        <v>Expense</v>
      </c>
    </row>
    <row r="49" spans="2:6" x14ac:dyDescent="0.3">
      <c r="B49" s="1">
        <v>45840</v>
      </c>
      <c r="C49" t="str">
        <f>TEXT(Table1[[#This Row],[Date]],"MMMM")</f>
        <v>July</v>
      </c>
      <c r="D49" s="2">
        <v>35000</v>
      </c>
      <c r="E49" t="s">
        <v>7</v>
      </c>
      <c r="F49" t="str">
        <f>VLOOKUP(Table1[[#This Row],[Item ]],Table2[],2,)</f>
        <v>Income</v>
      </c>
    </row>
    <row r="50" spans="2:6" x14ac:dyDescent="0.3">
      <c r="B50" s="1">
        <v>45843</v>
      </c>
      <c r="C50" t="str">
        <f>TEXT(Table1[[#This Row],[Date]],"MMMM")</f>
        <v>July</v>
      </c>
      <c r="D50" s="2">
        <v>8200</v>
      </c>
      <c r="E50" t="s">
        <v>11</v>
      </c>
      <c r="F50" t="str">
        <f>VLOOKUP(Table1[[#This Row],[Item ]],Table2[],2,)</f>
        <v>Expense</v>
      </c>
    </row>
    <row r="51" spans="2:6" x14ac:dyDescent="0.3">
      <c r="B51" s="1">
        <v>45848</v>
      </c>
      <c r="C51" t="str">
        <f>TEXT(Table1[[#This Row],[Date]],"MMMM")</f>
        <v>July</v>
      </c>
      <c r="D51" s="2">
        <v>700</v>
      </c>
      <c r="E51" t="s">
        <v>12</v>
      </c>
      <c r="F51" t="str">
        <f>VLOOKUP(Table1[[#This Row],[Item ]],Table2[],2,)</f>
        <v>Expense</v>
      </c>
    </row>
    <row r="52" spans="2:6" x14ac:dyDescent="0.3">
      <c r="B52" s="1">
        <v>45851</v>
      </c>
      <c r="C52" t="str">
        <f>TEXT(Table1[[#This Row],[Date]],"MMMM")</f>
        <v>July</v>
      </c>
      <c r="D52" s="2">
        <v>2500</v>
      </c>
      <c r="E52" t="s">
        <v>16</v>
      </c>
      <c r="F52" t="str">
        <f>VLOOKUP(Table1[[#This Row],[Item ]],Table2[],2,)</f>
        <v>Expense</v>
      </c>
    </row>
    <row r="53" spans="2:6" x14ac:dyDescent="0.3">
      <c r="B53" s="1">
        <v>45856</v>
      </c>
      <c r="C53" t="str">
        <f>TEXT(Table1[[#This Row],[Date]],"MMMM")</f>
        <v>July</v>
      </c>
      <c r="D53" s="2">
        <v>3900</v>
      </c>
      <c r="E53" t="s">
        <v>14</v>
      </c>
      <c r="F53" t="str">
        <f>VLOOKUP(Table1[[#This Row],[Item ]],Table2[],2,)</f>
        <v>Expense</v>
      </c>
    </row>
    <row r="54" spans="2:6" x14ac:dyDescent="0.3">
      <c r="B54" s="1">
        <v>45860</v>
      </c>
      <c r="C54" t="str">
        <f>TEXT(Table1[[#This Row],[Date]],"MMMM")</f>
        <v>July</v>
      </c>
      <c r="D54" s="2">
        <v>3100</v>
      </c>
      <c r="E54" t="s">
        <v>10</v>
      </c>
      <c r="F54" t="str">
        <f>VLOOKUP(Table1[[#This Row],[Item ]],Table2[],2,)</f>
        <v>Expense</v>
      </c>
    </row>
    <row r="55" spans="2:6" x14ac:dyDescent="0.3">
      <c r="B55" s="1">
        <v>45860</v>
      </c>
      <c r="C55" t="str">
        <f>TEXT(Table1[[#This Row],[Date]],"MMMM")</f>
        <v>July</v>
      </c>
      <c r="D55" s="2">
        <v>2300</v>
      </c>
      <c r="E55" t="s">
        <v>12</v>
      </c>
      <c r="F55" t="str">
        <f>VLOOKUP(Table1[[#This Row],[Item ]],Table2[],2,)</f>
        <v>Expense</v>
      </c>
    </row>
    <row r="56" spans="2:6" x14ac:dyDescent="0.3">
      <c r="B56" s="1">
        <v>45867</v>
      </c>
      <c r="C56" t="str">
        <f>TEXT(Table1[[#This Row],[Date]],"MMMM")</f>
        <v>July</v>
      </c>
      <c r="D56" s="2">
        <v>2700</v>
      </c>
      <c r="E56" t="s">
        <v>10</v>
      </c>
      <c r="F56" t="str">
        <f>VLOOKUP(Table1[[#This Row],[Item ]],Table2[],2,)</f>
        <v>Expense</v>
      </c>
    </row>
    <row r="57" spans="2:6" x14ac:dyDescent="0.3">
      <c r="B57" s="1">
        <v>45869</v>
      </c>
      <c r="C57" t="str">
        <f>TEXT(Table1[[#This Row],[Date]],"MMMM")</f>
        <v>July</v>
      </c>
      <c r="D57" s="2">
        <v>1800</v>
      </c>
      <c r="E57" t="s">
        <v>10</v>
      </c>
      <c r="F57" t="str">
        <f>VLOOKUP(Table1[[#This Row],[Item ]],Table2[],2,)</f>
        <v>Expense</v>
      </c>
    </row>
    <row r="58" spans="2:6" x14ac:dyDescent="0.3">
      <c r="B58" s="1">
        <v>45873</v>
      </c>
      <c r="C58" t="str">
        <f>TEXT(Table1[[#This Row],[Date]],"MMMM")</f>
        <v>August</v>
      </c>
      <c r="D58" s="2">
        <v>37500</v>
      </c>
      <c r="E58" t="s">
        <v>7</v>
      </c>
      <c r="F58" t="str">
        <f>VLOOKUP(Table1[[#This Row],[Item ]],Table2[],2,)</f>
        <v>Income</v>
      </c>
    </row>
    <row r="59" spans="2:6" x14ac:dyDescent="0.3">
      <c r="B59" s="1">
        <v>45876</v>
      </c>
      <c r="C59" t="str">
        <f>TEXT(Table1[[#This Row],[Date]],"MMMM")</f>
        <v>August</v>
      </c>
      <c r="D59" s="2">
        <v>9000</v>
      </c>
      <c r="E59" t="s">
        <v>11</v>
      </c>
      <c r="F59" t="str">
        <f>VLOOKUP(Table1[[#This Row],[Item ]],Table2[],2,)</f>
        <v>Expense</v>
      </c>
    </row>
    <row r="60" spans="2:6" x14ac:dyDescent="0.3">
      <c r="B60" s="1">
        <v>45881</v>
      </c>
      <c r="C60" t="str">
        <f>TEXT(Table1[[#This Row],[Date]],"MMMM")</f>
        <v>August</v>
      </c>
      <c r="D60" s="2">
        <v>800</v>
      </c>
      <c r="E60" t="s">
        <v>8</v>
      </c>
      <c r="F60" t="str">
        <f>VLOOKUP(Table1[[#This Row],[Item ]],Table2[],2,)</f>
        <v>Income</v>
      </c>
    </row>
    <row r="61" spans="2:6" x14ac:dyDescent="0.3">
      <c r="B61" s="1">
        <v>45885</v>
      </c>
      <c r="C61" t="str">
        <f>TEXT(Table1[[#This Row],[Date]],"MMMM")</f>
        <v>August</v>
      </c>
      <c r="D61" s="2">
        <v>2700</v>
      </c>
      <c r="E61" t="s">
        <v>10</v>
      </c>
      <c r="F61" t="str">
        <f>VLOOKUP(Table1[[#This Row],[Item ]],Table2[],2,)</f>
        <v>Expense</v>
      </c>
    </row>
    <row r="62" spans="2:6" x14ac:dyDescent="0.3">
      <c r="B62" s="1">
        <v>45889</v>
      </c>
      <c r="C62" t="str">
        <f>TEXT(Table1[[#This Row],[Date]],"MMMM")</f>
        <v>August</v>
      </c>
      <c r="D62" s="2">
        <v>4200</v>
      </c>
      <c r="E62" t="s">
        <v>16</v>
      </c>
      <c r="F62" t="str">
        <f>VLOOKUP(Table1[[#This Row],[Item ]],Table2[],2,)</f>
        <v>Expense</v>
      </c>
    </row>
    <row r="63" spans="2:6" x14ac:dyDescent="0.3">
      <c r="B63" s="1">
        <v>45889</v>
      </c>
      <c r="C63" t="str">
        <f>TEXT(Table1[[#This Row],[Date]],"MMMM")</f>
        <v>August</v>
      </c>
      <c r="D63" s="2">
        <v>3400</v>
      </c>
      <c r="E63" t="s">
        <v>13</v>
      </c>
      <c r="F63" t="str">
        <f>VLOOKUP(Table1[[#This Row],[Item ]],Table2[],2,)</f>
        <v>Expense</v>
      </c>
    </row>
    <row r="64" spans="2:6" x14ac:dyDescent="0.3">
      <c r="B64" s="1">
        <v>45894</v>
      </c>
      <c r="C64" t="str">
        <f>TEXT(Table1[[#This Row],[Date]],"MMMM")</f>
        <v>August</v>
      </c>
      <c r="D64" s="2">
        <v>2600</v>
      </c>
      <c r="E64" t="s">
        <v>12</v>
      </c>
      <c r="F64" t="str">
        <f>VLOOKUP(Table1[[#This Row],[Item ]],Table2[],2,)</f>
        <v>Expense</v>
      </c>
    </row>
    <row r="65" spans="2:6" x14ac:dyDescent="0.3">
      <c r="B65" s="1">
        <v>45898</v>
      </c>
      <c r="C65" t="str">
        <f>TEXT(Table1[[#This Row],[Date]],"MMMM")</f>
        <v>August</v>
      </c>
      <c r="D65" s="2">
        <v>3000</v>
      </c>
      <c r="E65" t="s">
        <v>16</v>
      </c>
      <c r="F65" t="str">
        <f>VLOOKUP(Table1[[#This Row],[Item ]],Table2[],2,)</f>
        <v>Expense</v>
      </c>
    </row>
    <row r="66" spans="2:6" x14ac:dyDescent="0.3">
      <c r="B66" s="1">
        <v>45901</v>
      </c>
      <c r="C66" t="str">
        <f>TEXT(Table1[[#This Row],[Date]],"MMMM")</f>
        <v>September</v>
      </c>
      <c r="D66" s="2">
        <v>37500</v>
      </c>
      <c r="E66" t="s">
        <v>7</v>
      </c>
      <c r="F66" t="str">
        <f>VLOOKUP(Table1[[#This Row],[Item ]],Table2[],2,)</f>
        <v>Income</v>
      </c>
    </row>
    <row r="67" spans="2:6" x14ac:dyDescent="0.3">
      <c r="B67" s="1">
        <v>45903</v>
      </c>
      <c r="C67" t="str">
        <f>TEXT(Table1[[#This Row],[Date]],"MMMM")</f>
        <v>September</v>
      </c>
      <c r="D67" s="2">
        <v>8800</v>
      </c>
      <c r="E67" t="s">
        <v>11</v>
      </c>
      <c r="F67" t="str">
        <f>VLOOKUP(Table1[[#This Row],[Item ]],Table2[],2,)</f>
        <v>Expense</v>
      </c>
    </row>
    <row r="68" spans="2:6" x14ac:dyDescent="0.3">
      <c r="B68" s="1">
        <v>45909</v>
      </c>
      <c r="C68" t="str">
        <f>TEXT(Table1[[#This Row],[Date]],"MMMM")</f>
        <v>September</v>
      </c>
      <c r="D68" s="2">
        <v>750</v>
      </c>
      <c r="E68" t="s">
        <v>8</v>
      </c>
      <c r="F68" t="str">
        <f>VLOOKUP(Table1[[#This Row],[Item ]],Table2[],2,)</f>
        <v>Income</v>
      </c>
    </row>
    <row r="69" spans="2:6" x14ac:dyDescent="0.3">
      <c r="B69" s="1">
        <v>45914</v>
      </c>
      <c r="C69" t="str">
        <f>TEXT(Table1[[#This Row],[Date]],"MMMM")</f>
        <v>September</v>
      </c>
      <c r="D69" s="2">
        <v>2400</v>
      </c>
      <c r="E69" t="s">
        <v>13</v>
      </c>
      <c r="F69" t="str">
        <f>VLOOKUP(Table1[[#This Row],[Item ]],Table2[],2,)</f>
        <v>Expense</v>
      </c>
    </row>
    <row r="70" spans="2:6" x14ac:dyDescent="0.3">
      <c r="B70" s="1">
        <v>45918</v>
      </c>
      <c r="C70" t="str">
        <f>TEXT(Table1[[#This Row],[Date]],"MMMM")</f>
        <v>September</v>
      </c>
      <c r="D70" s="2">
        <v>4100</v>
      </c>
      <c r="E70" t="s">
        <v>14</v>
      </c>
      <c r="F70" t="str">
        <f>VLOOKUP(Table1[[#This Row],[Item ]],Table2[],2,)</f>
        <v>Expense</v>
      </c>
    </row>
    <row r="71" spans="2:6" x14ac:dyDescent="0.3">
      <c r="B71" s="1">
        <v>45918</v>
      </c>
      <c r="C71" t="str">
        <f>TEXT(Table1[[#This Row],[Date]],"MMMM")</f>
        <v>September</v>
      </c>
      <c r="D71" s="2">
        <v>3200</v>
      </c>
      <c r="E71" t="s">
        <v>10</v>
      </c>
      <c r="F71" t="str">
        <f>VLOOKUP(Table1[[#This Row],[Item ]],Table2[],2,)</f>
        <v>Expense</v>
      </c>
    </row>
    <row r="72" spans="2:6" x14ac:dyDescent="0.3">
      <c r="B72" s="1">
        <v>45923</v>
      </c>
      <c r="C72" t="str">
        <f>TEXT(Table1[[#This Row],[Date]],"MMMM")</f>
        <v>September</v>
      </c>
      <c r="D72" s="2">
        <v>2500</v>
      </c>
      <c r="E72" t="s">
        <v>10</v>
      </c>
      <c r="F72" t="str">
        <f>VLOOKUP(Table1[[#This Row],[Item ]],Table2[],2,)</f>
        <v>Expense</v>
      </c>
    </row>
    <row r="73" spans="2:6" x14ac:dyDescent="0.3">
      <c r="B73" s="1">
        <v>45927</v>
      </c>
      <c r="C73" t="str">
        <f>TEXT(Table1[[#This Row],[Date]],"MMMM")</f>
        <v>September</v>
      </c>
      <c r="D73" s="2">
        <v>2900</v>
      </c>
      <c r="E73" t="s">
        <v>14</v>
      </c>
      <c r="F73" t="str">
        <f>VLOOKUP(Table1[[#This Row],[Item ]],Table2[],2,)</f>
        <v>Expense</v>
      </c>
    </row>
    <row r="74" spans="2:6" x14ac:dyDescent="0.3">
      <c r="B74" s="1">
        <v>45930</v>
      </c>
      <c r="C74" t="str">
        <f>TEXT(Table1[[#This Row],[Date]],"MMMM")</f>
        <v>September</v>
      </c>
      <c r="D74" s="2">
        <v>2100</v>
      </c>
      <c r="E74" t="s">
        <v>12</v>
      </c>
      <c r="F74" t="str">
        <f>VLOOKUP(Table1[[#This Row],[Item ]],Table2[],2,)</f>
        <v>Expense</v>
      </c>
    </row>
    <row r="75" spans="2:6" x14ac:dyDescent="0.3">
      <c r="B75" s="1">
        <v>45932</v>
      </c>
      <c r="C75" t="str">
        <f>TEXT(Table1[[#This Row],[Date]],"MMMM")</f>
        <v>October</v>
      </c>
      <c r="D75" s="2">
        <v>37500</v>
      </c>
      <c r="E75" t="s">
        <v>7</v>
      </c>
      <c r="F75" t="str">
        <f>VLOOKUP(Table1[[#This Row],[Item ]],Table2[],2,)</f>
        <v>Income</v>
      </c>
    </row>
    <row r="76" spans="2:6" x14ac:dyDescent="0.3">
      <c r="B76" s="1">
        <v>45936</v>
      </c>
      <c r="C76" t="str">
        <f>TEXT(Table1[[#This Row],[Date]],"MMMM")</f>
        <v>October</v>
      </c>
      <c r="D76" s="2">
        <v>9200</v>
      </c>
      <c r="E76" t="s">
        <v>11</v>
      </c>
      <c r="F76" t="str">
        <f>VLOOKUP(Table1[[#This Row],[Item ]],Table2[],2,)</f>
        <v>Expense</v>
      </c>
    </row>
    <row r="77" spans="2:6" x14ac:dyDescent="0.3">
      <c r="B77" s="1">
        <v>45941</v>
      </c>
      <c r="C77" t="str">
        <f>TEXT(Table1[[#This Row],[Date]],"MMMM")</f>
        <v>October</v>
      </c>
      <c r="D77" s="2">
        <v>900</v>
      </c>
      <c r="E77" t="s">
        <v>13</v>
      </c>
      <c r="F77" t="str">
        <f>VLOOKUP(Table1[[#This Row],[Item ]],Table2[],2,)</f>
        <v>Expense</v>
      </c>
    </row>
    <row r="78" spans="2:6" x14ac:dyDescent="0.3">
      <c r="B78" s="1">
        <v>45945</v>
      </c>
      <c r="C78" t="str">
        <f>TEXT(Table1[[#This Row],[Date]],"MMMM")</f>
        <v>October</v>
      </c>
      <c r="D78" s="2">
        <v>2800</v>
      </c>
      <c r="E78" t="s">
        <v>8</v>
      </c>
      <c r="F78" t="str">
        <f>VLOOKUP(Table1[[#This Row],[Item ]],Table2[],2,)</f>
        <v>Income</v>
      </c>
    </row>
    <row r="79" spans="2:6" x14ac:dyDescent="0.3">
      <c r="B79" s="1">
        <v>45949</v>
      </c>
      <c r="C79" t="str">
        <f>TEXT(Table1[[#This Row],[Date]],"MMMM")</f>
        <v>October</v>
      </c>
      <c r="D79" s="2">
        <v>4500</v>
      </c>
      <c r="E79" t="s">
        <v>16</v>
      </c>
      <c r="F79" t="str">
        <f>VLOOKUP(Table1[[#This Row],[Item ]],Table2[],2,)</f>
        <v>Expense</v>
      </c>
    </row>
    <row r="80" spans="2:6" x14ac:dyDescent="0.3">
      <c r="B80" s="1">
        <v>45949</v>
      </c>
      <c r="C80" t="str">
        <f>TEXT(Table1[[#This Row],[Date]],"MMMM")</f>
        <v>October</v>
      </c>
      <c r="D80" s="2">
        <v>3600</v>
      </c>
      <c r="E80" t="s">
        <v>13</v>
      </c>
      <c r="F80" t="str">
        <f>VLOOKUP(Table1[[#This Row],[Item ]],Table2[],2,)</f>
        <v>Expense</v>
      </c>
    </row>
    <row r="81" spans="2:6" x14ac:dyDescent="0.3">
      <c r="B81" s="1">
        <v>45954</v>
      </c>
      <c r="C81" t="str">
        <f>TEXT(Table1[[#This Row],[Date]],"MMMM")</f>
        <v>October</v>
      </c>
      <c r="D81" s="2">
        <v>2700</v>
      </c>
      <c r="E81" t="s">
        <v>8</v>
      </c>
      <c r="F81" t="str">
        <f>VLOOKUP(Table1[[#This Row],[Item ]],Table2[],2,)</f>
        <v>Income</v>
      </c>
    </row>
    <row r="82" spans="2:6" x14ac:dyDescent="0.3">
      <c r="B82" s="1">
        <v>45958</v>
      </c>
      <c r="C82" t="str">
        <f>TEXT(Table1[[#This Row],[Date]],"MMMM")</f>
        <v>October</v>
      </c>
      <c r="D82" s="2">
        <v>3100</v>
      </c>
      <c r="E82" t="s">
        <v>14</v>
      </c>
      <c r="F82" t="str">
        <f>VLOOKUP(Table1[[#This Row],[Item ]],Table2[],2,)</f>
        <v>Expense</v>
      </c>
    </row>
    <row r="83" spans="2:6" x14ac:dyDescent="0.3">
      <c r="B83" s="1">
        <v>45963</v>
      </c>
      <c r="C83" t="str">
        <f>TEXT(Table1[[#This Row],[Date]],"MMMM")</f>
        <v>November</v>
      </c>
      <c r="D83" s="2">
        <v>37000</v>
      </c>
      <c r="E83" t="s">
        <v>7</v>
      </c>
      <c r="F83" t="str">
        <f>VLOOKUP(Table1[[#This Row],[Item ]],Table2[],2,)</f>
        <v>Income</v>
      </c>
    </row>
    <row r="84" spans="2:6" x14ac:dyDescent="0.3">
      <c r="B84" s="1">
        <v>45968</v>
      </c>
      <c r="C84" t="str">
        <f>TEXT(Table1[[#This Row],[Date]],"MMMM")</f>
        <v>November</v>
      </c>
      <c r="D84" s="2">
        <v>8000</v>
      </c>
      <c r="E84" t="s">
        <v>11</v>
      </c>
      <c r="F84" t="str">
        <f>VLOOKUP(Table1[[#This Row],[Item ]],Table2[],2,)</f>
        <v>Expense</v>
      </c>
    </row>
    <row r="85" spans="2:6" x14ac:dyDescent="0.3">
      <c r="B85" s="1">
        <v>45992</v>
      </c>
      <c r="C85" s="21" t="str">
        <f>TEXT(Table1[[#This Row],[Date]],"MMMM")</f>
        <v>December</v>
      </c>
      <c r="D85" s="2">
        <v>38000</v>
      </c>
      <c r="E85" t="s">
        <v>7</v>
      </c>
      <c r="F85" s="21" t="str">
        <f>VLOOKUP(Table1[[#This Row],[Item ]],Table2[],2,)</f>
        <v>Income</v>
      </c>
    </row>
    <row r="86" spans="2:6" x14ac:dyDescent="0.3">
      <c r="B86" s="1">
        <v>45998</v>
      </c>
      <c r="C86" s="21" t="str">
        <f>TEXT(Table1[[#This Row],[Date]],"MMMM")</f>
        <v>December</v>
      </c>
      <c r="D86" s="2">
        <v>8500</v>
      </c>
      <c r="E86" t="s">
        <v>11</v>
      </c>
      <c r="F86" s="21" t="str">
        <f>VLOOKUP(Table1[[#This Row],[Item ]],Table2[],2,)</f>
        <v>Expense</v>
      </c>
    </row>
  </sheetData>
  <dataValidations count="1">
    <dataValidation type="list" allowBlank="1" showInputMessage="1" showErrorMessage="1" sqref="E5:E86" xr:uid="{AB247F90-F09D-4A10-A1B4-0888496153D1}">
      <formula1>$K$8:$K$17</formula1>
    </dataValidation>
  </dataValidation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23120-5E89-4C2D-AD5F-151513A4CA30}">
  <dimension ref="A1"/>
  <sheetViews>
    <sheetView showGridLines="0" tabSelected="1" topLeftCell="A5" zoomScale="70" zoomScaleNormal="70" workbookViewId="0">
      <selection activeCell="X21" sqref="X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9DBE6-F8E2-4163-975E-EE39653EBA6E}">
  <dimension ref="B2:P27"/>
  <sheetViews>
    <sheetView showGridLines="0" workbookViewId="0">
      <selection activeCell="F25" sqref="F25"/>
    </sheetView>
  </sheetViews>
  <sheetFormatPr defaultRowHeight="14.4" x14ac:dyDescent="0.3"/>
  <cols>
    <col min="2" max="2" width="11.44140625" customWidth="1"/>
    <col min="3" max="3" width="10.88671875" bestFit="1" customWidth="1"/>
    <col min="4" max="4" width="6.33203125" customWidth="1"/>
    <col min="5" max="5" width="11.88671875" customWidth="1"/>
    <col min="7" max="7" width="6.44140625" customWidth="1"/>
    <col min="8" max="9" width="11.33203125" customWidth="1"/>
    <col min="10" max="10" width="5" customWidth="1"/>
    <col min="11" max="11" width="3.44140625" customWidth="1"/>
    <col min="12" max="12" width="13" customWidth="1"/>
    <col min="13" max="13" width="11.33203125" bestFit="1" customWidth="1"/>
    <col min="14" max="14" width="5.6640625" customWidth="1"/>
    <col min="15" max="15" width="14.21875" customWidth="1"/>
    <col min="16" max="16" width="9.88671875" bestFit="1" customWidth="1"/>
  </cols>
  <sheetData>
    <row r="2" spans="2:16" ht="18" x14ac:dyDescent="0.35">
      <c r="B2" s="17" t="s">
        <v>17</v>
      </c>
      <c r="C2" s="17"/>
      <c r="D2" s="17"/>
      <c r="E2" s="17"/>
      <c r="F2" s="17"/>
      <c r="G2" s="17"/>
      <c r="H2" s="17"/>
      <c r="I2" s="17"/>
    </row>
    <row r="4" spans="2:16" x14ac:dyDescent="0.3">
      <c r="B4" t="s">
        <v>18</v>
      </c>
      <c r="C4" s="4">
        <f>SUM(C9:C200)</f>
        <v>477154.16666666669</v>
      </c>
      <c r="E4" t="s">
        <v>37</v>
      </c>
      <c r="F4" s="3">
        <f>SUM(F9:F20)</f>
        <v>223425</v>
      </c>
      <c r="H4" t="s">
        <v>36</v>
      </c>
      <c r="I4" s="5">
        <f>SUM(I9:I20)</f>
        <v>217025</v>
      </c>
    </row>
    <row r="6" spans="2:16" ht="18" x14ac:dyDescent="0.35">
      <c r="B6" s="14" t="s">
        <v>19</v>
      </c>
      <c r="C6" s="14"/>
      <c r="D6" s="14"/>
      <c r="E6" s="14"/>
      <c r="F6" s="14"/>
      <c r="G6" s="14"/>
      <c r="H6" s="14"/>
      <c r="I6" s="14"/>
    </row>
    <row r="8" spans="2:16" ht="18" x14ac:dyDescent="0.35">
      <c r="B8" s="15" t="s">
        <v>20</v>
      </c>
      <c r="C8" s="16"/>
      <c r="E8" s="15" t="s">
        <v>34</v>
      </c>
      <c r="F8" s="16"/>
      <c r="H8" s="15" t="s">
        <v>35</v>
      </c>
      <c r="I8" s="16"/>
      <c r="L8" s="14" t="s">
        <v>38</v>
      </c>
      <c r="M8" s="14"/>
      <c r="N8" s="14"/>
      <c r="O8" s="14"/>
      <c r="P8" s="14"/>
    </row>
    <row r="9" spans="2:16" x14ac:dyDescent="0.3">
      <c r="B9" s="6" t="s">
        <v>21</v>
      </c>
      <c r="C9" s="7">
        <f>SUMIFS(Table1[Amount],Table1[Month],Dashboard!B9,Table1[Category],"Income")</f>
        <v>35000</v>
      </c>
      <c r="E9" s="6" t="s">
        <v>21</v>
      </c>
      <c r="F9" s="7">
        <f>SUMIFS(Table1[Amount],Table1[Month],Dashboard!E9,Table1[Category],"Expense")</f>
        <v>16450</v>
      </c>
      <c r="H9" s="6" t="s">
        <v>21</v>
      </c>
      <c r="I9" s="7">
        <f>C9-F9</f>
        <v>18550</v>
      </c>
    </row>
    <row r="10" spans="2:16" x14ac:dyDescent="0.3">
      <c r="B10" s="6" t="s">
        <v>22</v>
      </c>
      <c r="C10" s="7">
        <f>SUMIFS(Table1[Amount],Table1[Month],Dashboard!B10,Table1[Category],"Income")</f>
        <v>35000</v>
      </c>
      <c r="E10" s="6" t="s">
        <v>22</v>
      </c>
      <c r="F10" s="7">
        <f>SUMIFS(Table1[Amount],Table1[Month],Dashboard!E10,Table1[Category],"Expense")</f>
        <v>21500</v>
      </c>
      <c r="H10" s="6" t="s">
        <v>22</v>
      </c>
      <c r="I10" s="7">
        <f t="shared" ref="I10:I20" si="0">C10-F10</f>
        <v>13500</v>
      </c>
      <c r="L10" s="18" t="s">
        <v>9</v>
      </c>
      <c r="M10" s="19"/>
      <c r="O10" s="12" t="s">
        <v>15</v>
      </c>
      <c r="P10" s="13"/>
    </row>
    <row r="11" spans="2:16" x14ac:dyDescent="0.3">
      <c r="B11" s="6" t="s">
        <v>23</v>
      </c>
      <c r="C11" s="7">
        <f>SUMIFS(Table1[Amount],Table1[Month],Dashboard!B11,Table1[Category],"Income")</f>
        <v>34000</v>
      </c>
      <c r="E11" s="6" t="s">
        <v>23</v>
      </c>
      <c r="F11" s="7">
        <f>SUMIFS(Table1[Amount],Table1[Month],Dashboard!E11,Table1[Category],"Expense")</f>
        <v>15975</v>
      </c>
      <c r="H11" s="6" t="s">
        <v>23</v>
      </c>
      <c r="I11" s="7">
        <f t="shared" si="0"/>
        <v>18025</v>
      </c>
      <c r="L11" s="6" t="s">
        <v>7</v>
      </c>
      <c r="M11" s="7">
        <f>SUMIF(Table1[[Item ]],Dashboard!L11,Table1[Amount])</f>
        <v>429500</v>
      </c>
      <c r="O11" s="6" t="s">
        <v>10</v>
      </c>
      <c r="P11" s="7">
        <f>SUMIF(Records!E5:E86,Dashboard!O11,Records!D5:D86)</f>
        <v>41200</v>
      </c>
    </row>
    <row r="12" spans="2:16" x14ac:dyDescent="0.3">
      <c r="B12" s="6" t="s">
        <v>24</v>
      </c>
      <c r="C12" s="7">
        <f>SUMIFS(Table1[Amount],Table1[Month],Dashboard!B12,Table1[Category],"Income")</f>
        <v>36900</v>
      </c>
      <c r="E12" s="6" t="s">
        <v>24</v>
      </c>
      <c r="F12" s="7">
        <f>SUMIFS(Table1[Amount],Table1[Month],Dashboard!E12,Table1[Category],"Expense")</f>
        <v>13100</v>
      </c>
      <c r="H12" s="6" t="s">
        <v>24</v>
      </c>
      <c r="I12" s="7">
        <f t="shared" si="0"/>
        <v>23800</v>
      </c>
      <c r="L12" s="11" t="s">
        <v>8</v>
      </c>
      <c r="M12" s="8">
        <f>SUMIF(Table1[[Item ]],Dashboard!L12,Table1[Amount])</f>
        <v>10950</v>
      </c>
      <c r="O12" s="6" t="s">
        <v>11</v>
      </c>
      <c r="P12" s="7">
        <f>SUMIF(Records!E6:E83,Dashboard!O12,Records!D6:D83)</f>
        <v>77700</v>
      </c>
    </row>
    <row r="13" spans="2:16" x14ac:dyDescent="0.3">
      <c r="B13" s="6" t="s">
        <v>25</v>
      </c>
      <c r="C13" s="7">
        <f>SUMIFS(Table1[Amount],Table1[Month],Dashboard!B13,Table1[Category],"Income")</f>
        <v>35000</v>
      </c>
      <c r="E13" s="6" t="s">
        <v>25</v>
      </c>
      <c r="F13" s="7">
        <f>SUMIFS(Table1[Amount],Table1[Month],Dashboard!E13,Table1[Category],"Expense")</f>
        <v>22100</v>
      </c>
      <c r="H13" s="6" t="s">
        <v>25</v>
      </c>
      <c r="I13" s="7">
        <f t="shared" si="0"/>
        <v>12900</v>
      </c>
      <c r="O13" s="6" t="s">
        <v>12</v>
      </c>
      <c r="P13" s="7">
        <f>SUMIF(Records!E7:E84,Dashboard!O13,Records!D7:D84)</f>
        <v>17675</v>
      </c>
    </row>
    <row r="14" spans="2:16" x14ac:dyDescent="0.3">
      <c r="B14" s="6" t="s">
        <v>26</v>
      </c>
      <c r="C14" s="7">
        <f>SUMIFS(Table1[Amount],Table1[Month],Dashboard!B14,Table1[Category],"Income")</f>
        <v>35000</v>
      </c>
      <c r="E14" s="6" t="s">
        <v>26</v>
      </c>
      <c r="F14" s="7">
        <f>SUMIFS(Table1[Amount],Table1[Month],Dashboard!E14,Table1[Category],"Expense")</f>
        <v>20400</v>
      </c>
      <c r="H14" s="6" t="s">
        <v>26</v>
      </c>
      <c r="I14" s="7">
        <f t="shared" si="0"/>
        <v>14600</v>
      </c>
      <c r="O14" s="6" t="s">
        <v>13</v>
      </c>
      <c r="P14" s="7">
        <f>SUMIF(Records!E8:E85,Dashboard!O14,Records!D8:D85)</f>
        <v>23900</v>
      </c>
    </row>
    <row r="15" spans="2:16" x14ac:dyDescent="0.3">
      <c r="B15" s="6" t="s">
        <v>27</v>
      </c>
      <c r="C15" s="7">
        <f>SUMIFS(Table1[Amount],Table1[Month],Dashboard!B15,Table1[Category],"Income")</f>
        <v>35000</v>
      </c>
      <c r="E15" s="6" t="s">
        <v>27</v>
      </c>
      <c r="F15" s="7">
        <f>SUMIFS(Table1[Amount],Table1[Month],Dashboard!E15,Table1[Category],"Expense")</f>
        <v>25200</v>
      </c>
      <c r="H15" s="6" t="s">
        <v>27</v>
      </c>
      <c r="I15" s="7">
        <f t="shared" si="0"/>
        <v>9800</v>
      </c>
      <c r="O15" s="6" t="s">
        <v>14</v>
      </c>
      <c r="P15" s="7">
        <f>SUMIF(Records!E9:E86,Dashboard!O15,Records!D9:D86)</f>
        <v>21400</v>
      </c>
    </row>
    <row r="16" spans="2:16" x14ac:dyDescent="0.3">
      <c r="B16" s="6" t="s">
        <v>28</v>
      </c>
      <c r="C16" s="7">
        <f>SUMIFS(Table1[Amount],Table1[Month],Dashboard!B16,Table1[Category],"Income")</f>
        <v>38300</v>
      </c>
      <c r="E16" s="6" t="s">
        <v>28</v>
      </c>
      <c r="F16" s="7">
        <f>SUMIFS(Table1[Amount],Table1[Month],Dashboard!E16,Table1[Category],"Expense")</f>
        <v>24900</v>
      </c>
      <c r="H16" s="6" t="s">
        <v>28</v>
      </c>
      <c r="I16" s="7">
        <f t="shared" si="0"/>
        <v>13400</v>
      </c>
      <c r="O16" s="11" t="s">
        <v>16</v>
      </c>
      <c r="P16" s="8">
        <f>SUMIF(Records!E10:E87,Dashboard!O16,Records!D10:D87)</f>
        <v>24200</v>
      </c>
    </row>
    <row r="17" spans="2:9" x14ac:dyDescent="0.3">
      <c r="B17" s="6" t="s">
        <v>29</v>
      </c>
      <c r="C17" s="7">
        <f>SUMIFS(Table1[Amount],Table1[Month],Dashboard!B17,Table1[Category],"Income")</f>
        <v>38250</v>
      </c>
      <c r="E17" s="6" t="s">
        <v>29</v>
      </c>
      <c r="F17" s="7">
        <f>SUMIFS(Table1[Amount],Table1[Month],Dashboard!E17,Table1[Category],"Expense")</f>
        <v>26000</v>
      </c>
      <c r="H17" s="6" t="s">
        <v>29</v>
      </c>
      <c r="I17" s="7">
        <f t="shared" si="0"/>
        <v>12250</v>
      </c>
    </row>
    <row r="18" spans="2:9" x14ac:dyDescent="0.3">
      <c r="B18" s="6" t="s">
        <v>30</v>
      </c>
      <c r="C18" s="7">
        <f>SUMIFS(Table1[Amount],Table1[Month],Dashboard!B18,Table1[Category],"Income")</f>
        <v>43000</v>
      </c>
      <c r="E18" s="6" t="s">
        <v>30</v>
      </c>
      <c r="F18" s="7">
        <f>SUMIFS(Table1[Amount],Table1[Month],Dashboard!E18,Table1[Category],"Expense")</f>
        <v>21300</v>
      </c>
      <c r="H18" s="6" t="s">
        <v>30</v>
      </c>
      <c r="I18" s="7">
        <f t="shared" si="0"/>
        <v>21700</v>
      </c>
    </row>
    <row r="19" spans="2:9" x14ac:dyDescent="0.3">
      <c r="B19" s="6" t="s">
        <v>31</v>
      </c>
      <c r="C19" s="7">
        <f>SUMIFS(Table1[Amount],Table1[Month],Dashboard!B19,Table1[Category],"Income")</f>
        <v>37000</v>
      </c>
      <c r="E19" s="6" t="s">
        <v>31</v>
      </c>
      <c r="F19" s="7">
        <f>SUMIFS(Table1[Amount],Table1[Month],Dashboard!E19,Table1[Category],"Expense")</f>
        <v>8000</v>
      </c>
      <c r="H19" s="6" t="s">
        <v>31</v>
      </c>
      <c r="I19" s="7">
        <f t="shared" si="0"/>
        <v>29000</v>
      </c>
    </row>
    <row r="20" spans="2:9" x14ac:dyDescent="0.3">
      <c r="B20" s="6" t="s">
        <v>32</v>
      </c>
      <c r="C20" s="7">
        <f>SUMIFS(Table1[Amount],Table1[Month],Dashboard!B20,Table1[Category],"Income")</f>
        <v>38000</v>
      </c>
      <c r="E20" s="6" t="s">
        <v>32</v>
      </c>
      <c r="F20" s="7">
        <f>SUMIFS(Table1[Amount],Table1[Month],Dashboard!E20,Table1[Category],"Expense")</f>
        <v>8500</v>
      </c>
      <c r="H20" s="6" t="s">
        <v>32</v>
      </c>
      <c r="I20" s="7">
        <f t="shared" si="0"/>
        <v>29500</v>
      </c>
    </row>
    <row r="21" spans="2:9" x14ac:dyDescent="0.3">
      <c r="B21" s="9" t="s">
        <v>33</v>
      </c>
      <c r="C21" s="10">
        <f>AVERAGEIF(C9:C20,"&gt;0")</f>
        <v>36704.166666666664</v>
      </c>
      <c r="E21" s="9" t="s">
        <v>33</v>
      </c>
      <c r="F21" s="10">
        <f>AVERAGEIF(F9:F20,"&gt;0")</f>
        <v>18618.75</v>
      </c>
      <c r="H21" s="9" t="s">
        <v>33</v>
      </c>
      <c r="I21" s="10">
        <f>AVERAGEIF(I9:I20,"&gt;0")</f>
        <v>18085.416666666668</v>
      </c>
    </row>
    <row r="25" spans="2:9" x14ac:dyDescent="0.3">
      <c r="F25" t="str">
        <f>"TOTAL INCOME" &amp; CHAR(10) &amp; "₹ " &amp; TEXT(C4,"#,##0")</f>
        <v>TOTAL INCOME
₹ 4,77,154</v>
      </c>
    </row>
    <row r="26" spans="2:9" x14ac:dyDescent="0.3">
      <c r="F26" t="str">
        <f>"TOTAL EXPENSE" &amp; CHAR(10) &amp; "₹ " &amp; TEXT(F4,"#,##0")</f>
        <v>TOTAL EXPENSE
₹ 2,23,425</v>
      </c>
    </row>
    <row r="27" spans="2:9" x14ac:dyDescent="0.3">
      <c r="F27" t="str">
        <f>"NET SAVINGS"&amp; CHAR(10) &amp; "₹ " &amp; TEXT(I4,"#,##0")</f>
        <v>NET SAVINGS
₹ 2,17,025</v>
      </c>
    </row>
  </sheetData>
  <mergeCells count="8">
    <mergeCell ref="B2:I2"/>
    <mergeCell ref="B6:I6"/>
    <mergeCell ref="L10:M10"/>
    <mergeCell ref="O10:P10"/>
    <mergeCell ref="L8:P8"/>
    <mergeCell ref="B8:C8"/>
    <mergeCell ref="E8:F8"/>
    <mergeCell ref="H8:I8"/>
  </mergeCells>
  <phoneticPr fontId="5" type="noConversion"/>
  <conditionalFormatting sqref="C9:C20">
    <cfRule type="dataBar" priority="3">
      <dataBar>
        <cfvo type="min"/>
        <cfvo type="max"/>
        <color rgb="FF638EC6"/>
      </dataBar>
      <extLst>
        <ext xmlns:x14="http://schemas.microsoft.com/office/spreadsheetml/2009/9/main" uri="{B025F937-C7B1-47D3-B67F-A62EFF666E3E}">
          <x14:id>{FBFE481D-358A-428C-914B-4ABD4BCD87B1}</x14:id>
        </ext>
      </extLst>
    </cfRule>
  </conditionalFormatting>
  <conditionalFormatting sqref="F9:F20">
    <cfRule type="dataBar" priority="5">
      <dataBar>
        <cfvo type="min"/>
        <cfvo type="max"/>
        <color rgb="FFFF555A"/>
      </dataBar>
      <extLst>
        <ext xmlns:x14="http://schemas.microsoft.com/office/spreadsheetml/2009/9/main" uri="{B025F937-C7B1-47D3-B67F-A62EFF666E3E}">
          <x14:id>{94CFECF7-482D-4677-A06D-AA16FCA91EA5}</x14:id>
        </ext>
      </extLst>
    </cfRule>
  </conditionalFormatting>
  <conditionalFormatting sqref="I9:I20">
    <cfRule type="dataBar" priority="4">
      <dataBar>
        <cfvo type="min"/>
        <cfvo type="max"/>
        <color rgb="FF63C384"/>
      </dataBar>
      <extLst>
        <ext xmlns:x14="http://schemas.microsoft.com/office/spreadsheetml/2009/9/main" uri="{B025F937-C7B1-47D3-B67F-A62EFF666E3E}">
          <x14:id>{3668FB75-23D9-41A0-ABD2-08066AAE746B}</x14:id>
        </ext>
      </extLst>
    </cfRule>
  </conditionalFormatting>
  <conditionalFormatting sqref="M11:M12">
    <cfRule type="dataBar" priority="2">
      <dataBar>
        <cfvo type="min"/>
        <cfvo type="max"/>
        <color rgb="FF638EC6"/>
      </dataBar>
      <extLst>
        <ext xmlns:x14="http://schemas.microsoft.com/office/spreadsheetml/2009/9/main" uri="{B025F937-C7B1-47D3-B67F-A62EFF666E3E}">
          <x14:id>{EB4EF042-E433-4359-B2C1-EDCAF3D13320}</x14:id>
        </ext>
      </extLst>
    </cfRule>
  </conditionalFormatting>
  <conditionalFormatting sqref="P11:P16">
    <cfRule type="dataBar" priority="1">
      <dataBar>
        <cfvo type="min"/>
        <cfvo type="max"/>
        <color rgb="FFFF555A"/>
      </dataBar>
      <extLst>
        <ext xmlns:x14="http://schemas.microsoft.com/office/spreadsheetml/2009/9/main" uri="{B025F937-C7B1-47D3-B67F-A62EFF666E3E}">
          <x14:id>{FC172C10-B466-4FAE-98B2-9A528E4CAD36}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BFE481D-358A-428C-914B-4ABD4BCD87B1}">
            <x14:dataBar minLength="0" maxLength="100" border="1" negativeBarBorderColorSameAsPositive="0">
              <x14:cfvo type="autoMin"/>
              <x14:cfvo type="autoMax"/>
              <x14:borderColor rgb="FF638EC6"/>
              <x14:negativeFillColor rgb="FFFF0000"/>
              <x14:negativeBorderColor rgb="FFFF0000"/>
              <x14:axisColor rgb="FF000000"/>
            </x14:dataBar>
          </x14:cfRule>
          <xm:sqref>C9:C20</xm:sqref>
        </x14:conditionalFormatting>
        <x14:conditionalFormatting xmlns:xm="http://schemas.microsoft.com/office/excel/2006/main">
          <x14:cfRule type="dataBar" id="{94CFECF7-482D-4677-A06D-AA16FCA91EA5}">
            <x14:dataBar minLength="0" maxLength="100" border="1" negativeBarBorderColorSameAsPositive="0">
              <x14:cfvo type="autoMin"/>
              <x14:cfvo type="autoMax"/>
              <x14:borderColor rgb="FFFF555A"/>
              <x14:negativeFillColor rgb="FFFF0000"/>
              <x14:negativeBorderColor rgb="FFFF0000"/>
              <x14:axisColor rgb="FF000000"/>
            </x14:dataBar>
          </x14:cfRule>
          <xm:sqref>F9:F20</xm:sqref>
        </x14:conditionalFormatting>
        <x14:conditionalFormatting xmlns:xm="http://schemas.microsoft.com/office/excel/2006/main">
          <x14:cfRule type="dataBar" id="{3668FB75-23D9-41A0-ABD2-08066AAE746B}">
            <x14:dataBar minLength="0" maxLength="100" border="1" negativeBarBorderColorSameAsPositive="0">
              <x14:cfvo type="autoMin"/>
              <x14:cfvo type="autoMax"/>
              <x14:borderColor rgb="FF63C384"/>
              <x14:negativeFillColor rgb="FFFF0000"/>
              <x14:negativeBorderColor rgb="FFFF0000"/>
              <x14:axisColor rgb="FF000000"/>
            </x14:dataBar>
          </x14:cfRule>
          <xm:sqref>I9:I20</xm:sqref>
        </x14:conditionalFormatting>
        <x14:conditionalFormatting xmlns:xm="http://schemas.microsoft.com/office/excel/2006/main">
          <x14:cfRule type="dataBar" id="{EB4EF042-E433-4359-B2C1-EDCAF3D13320}">
            <x14:dataBar minLength="0" maxLength="100" border="1" negativeBarBorderColorSameAsPositive="0">
              <x14:cfvo type="autoMin"/>
              <x14:cfvo type="autoMax"/>
              <x14:borderColor rgb="FF638EC6"/>
              <x14:negativeFillColor rgb="FFFF0000"/>
              <x14:negativeBorderColor rgb="FFFF0000"/>
              <x14:axisColor rgb="FF000000"/>
            </x14:dataBar>
          </x14:cfRule>
          <xm:sqref>M11:M12</xm:sqref>
        </x14:conditionalFormatting>
        <x14:conditionalFormatting xmlns:xm="http://schemas.microsoft.com/office/excel/2006/main">
          <x14:cfRule type="dataBar" id="{FC172C10-B466-4FAE-98B2-9A528E4CAD36}">
            <x14:dataBar minLength="0" maxLength="100" border="1" negativeBarBorderColorSameAsPositive="0">
              <x14:cfvo type="autoMin"/>
              <x14:cfvo type="autoMax"/>
              <x14:borderColor rgb="FFFF555A"/>
              <x14:negativeFillColor rgb="FFFF0000"/>
              <x14:negativeBorderColor rgb="FFFF0000"/>
              <x14:axisColor rgb="FF000000"/>
            </x14:dataBar>
          </x14:cfRule>
          <xm:sqref>P11:P16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F5C5-1A04-4F0B-97E4-A3CA31AB0B49}">
  <dimension ref="A1:R27"/>
  <sheetViews>
    <sheetView topLeftCell="H3" workbookViewId="0">
      <selection activeCell="R10" sqref="R10"/>
    </sheetView>
  </sheetViews>
  <sheetFormatPr defaultRowHeight="14.4" x14ac:dyDescent="0.3"/>
  <cols>
    <col min="1" max="1" width="12" bestFit="1" customWidth="1"/>
    <col min="2" max="2" width="9.33203125" bestFit="1" customWidth="1"/>
    <col min="4" max="4" width="12.5546875" bestFit="1" customWidth="1"/>
    <col min="5" max="5" width="9.88671875" bestFit="1" customWidth="1"/>
    <col min="7" max="7" width="15.6640625" bestFit="1" customWidth="1"/>
    <col min="8" max="8" width="9.33203125" bestFit="1" customWidth="1"/>
    <col min="10" max="10" width="14.44140625" bestFit="1" customWidth="1"/>
    <col min="11" max="11" width="9.33203125" bestFit="1" customWidth="1"/>
    <col min="13" max="13" width="14.44140625" bestFit="1" customWidth="1"/>
    <col min="14" max="14" width="8.109375" bestFit="1" customWidth="1"/>
    <col min="15" max="16" width="10.77734375" bestFit="1" customWidth="1"/>
  </cols>
  <sheetData>
    <row r="1" spans="1:18" x14ac:dyDescent="0.3">
      <c r="A1" s="20" t="s">
        <v>5</v>
      </c>
      <c r="B1" t="s">
        <v>9</v>
      </c>
      <c r="D1" s="20" t="s">
        <v>5</v>
      </c>
      <c r="E1" t="s">
        <v>15</v>
      </c>
    </row>
    <row r="3" spans="1:18" x14ac:dyDescent="0.3">
      <c r="A3" s="20" t="s">
        <v>43</v>
      </c>
      <c r="B3" t="s">
        <v>41</v>
      </c>
      <c r="D3" s="20" t="s">
        <v>44</v>
      </c>
      <c r="E3" t="s">
        <v>41</v>
      </c>
    </row>
    <row r="4" spans="1:18" x14ac:dyDescent="0.3">
      <c r="A4" t="s">
        <v>41</v>
      </c>
      <c r="B4" s="2">
        <v>440450</v>
      </c>
      <c r="D4" t="s">
        <v>41</v>
      </c>
      <c r="E4" s="2">
        <v>223425</v>
      </c>
      <c r="J4" s="20" t="s">
        <v>5</v>
      </c>
      <c r="K4" t="s">
        <v>15</v>
      </c>
      <c r="M4" s="20" t="s">
        <v>40</v>
      </c>
      <c r="N4" s="20" t="s">
        <v>5</v>
      </c>
    </row>
    <row r="5" spans="1:18" x14ac:dyDescent="0.3">
      <c r="M5" s="20" t="s">
        <v>2</v>
      </c>
      <c r="N5" t="s">
        <v>15</v>
      </c>
      <c r="O5" t="s">
        <v>9</v>
      </c>
      <c r="P5" t="s">
        <v>39</v>
      </c>
    </row>
    <row r="6" spans="1:18" x14ac:dyDescent="0.3">
      <c r="J6" s="20" t="s">
        <v>45</v>
      </c>
      <c r="M6" t="s">
        <v>21</v>
      </c>
      <c r="N6" s="2">
        <v>16450</v>
      </c>
      <c r="O6" s="2">
        <v>35000</v>
      </c>
      <c r="P6" s="2">
        <v>51450</v>
      </c>
      <c r="R6" t="str">
        <f>"Entertainment" &amp; CHAR(10) &amp; "₹ " &amp; TEXT(GETPIVOTDATA("Amount",$J$6,"Item ","Entertainment"),"#,##0")</f>
        <v>Entertainment
₹ 24,450</v>
      </c>
    </row>
    <row r="7" spans="1:18" x14ac:dyDescent="0.3">
      <c r="J7" s="20" t="s">
        <v>4</v>
      </c>
      <c r="K7" t="s">
        <v>41</v>
      </c>
      <c r="M7" t="s">
        <v>22</v>
      </c>
      <c r="N7" s="2">
        <v>21500</v>
      </c>
      <c r="O7" s="2">
        <v>35000</v>
      </c>
      <c r="P7" s="2">
        <v>56500</v>
      </c>
      <c r="R7" t="str">
        <f>"Food" &amp; CHAR(10) &amp; "₹ " &amp; TEXT(GETPIVOTDATA("Amount",$J$6,"Item ","Food"),"#,##0")</f>
        <v>Food
₹ 94,200</v>
      </c>
    </row>
    <row r="8" spans="1:18" x14ac:dyDescent="0.3">
      <c r="J8" t="s">
        <v>16</v>
      </c>
      <c r="K8" s="2">
        <v>24450</v>
      </c>
      <c r="M8" t="s">
        <v>23</v>
      </c>
      <c r="N8" s="2">
        <v>15975</v>
      </c>
      <c r="O8" s="2">
        <v>34000</v>
      </c>
      <c r="P8" s="2">
        <v>49975</v>
      </c>
      <c r="R8" t="str">
        <f>"Fuel" &amp; CHAR(10) &amp; "₹ " &amp; TEXT(GETPIVOTDATA("Amount",$J$6,"Item ","Fuel"),"#,##0")</f>
        <v>Fuel
₹ 18,275</v>
      </c>
    </row>
    <row r="9" spans="1:18" x14ac:dyDescent="0.3">
      <c r="J9" t="s">
        <v>11</v>
      </c>
      <c r="K9" s="2">
        <v>94200</v>
      </c>
      <c r="M9" t="s">
        <v>24</v>
      </c>
      <c r="N9" s="2">
        <v>13100</v>
      </c>
      <c r="O9" s="2">
        <v>36900</v>
      </c>
      <c r="P9" s="2">
        <v>50000</v>
      </c>
      <c r="R9" t="str">
        <f>"Health" &amp; CHAR(10) &amp; "₹ " &amp; TEXT(GETPIVOTDATA("Amount",$J$6,"Item ","Health"),"#,##0")</f>
        <v>Health
₹ 21,400</v>
      </c>
    </row>
    <row r="10" spans="1:18" x14ac:dyDescent="0.3">
      <c r="J10" t="s">
        <v>12</v>
      </c>
      <c r="K10" s="2">
        <v>18275</v>
      </c>
      <c r="M10" t="s">
        <v>25</v>
      </c>
      <c r="N10" s="2">
        <v>22100</v>
      </c>
      <c r="O10" s="2">
        <v>35000</v>
      </c>
      <c r="P10" s="2">
        <v>57100</v>
      </c>
      <c r="R10" t="str">
        <f>"Shopping" &amp; CHAR(10) &amp; "₹ " &amp; TEXT(GETPIVOTDATA("Amount",$J$6,"Item ","Shopping"),"#,##0")</f>
        <v>Shopping
₹ 41,200</v>
      </c>
    </row>
    <row r="11" spans="1:18" x14ac:dyDescent="0.3">
      <c r="J11" t="s">
        <v>14</v>
      </c>
      <c r="K11" s="2">
        <v>21400</v>
      </c>
      <c r="M11" t="s">
        <v>26</v>
      </c>
      <c r="N11" s="2">
        <v>20400</v>
      </c>
      <c r="O11" s="2">
        <v>35000</v>
      </c>
      <c r="P11" s="2">
        <v>55400</v>
      </c>
      <c r="R11" t="str">
        <f>"Transportaion" &amp; CHAR(10) &amp; "₹ " &amp; TEXT(GETPIVOTDATA("Amount",$J$6,"Item ","Transpotation"),"#,##0")</f>
        <v>Transportaion
₹ 23,900</v>
      </c>
    </row>
    <row r="12" spans="1:18" x14ac:dyDescent="0.3">
      <c r="J12" t="s">
        <v>10</v>
      </c>
      <c r="K12" s="2">
        <v>41200</v>
      </c>
      <c r="M12" t="s">
        <v>27</v>
      </c>
      <c r="N12" s="2">
        <v>25200</v>
      </c>
      <c r="O12" s="2">
        <v>35000</v>
      </c>
      <c r="P12" s="2">
        <v>60200</v>
      </c>
    </row>
    <row r="13" spans="1:18" x14ac:dyDescent="0.3">
      <c r="J13" t="s">
        <v>13</v>
      </c>
      <c r="K13" s="2">
        <v>23900</v>
      </c>
      <c r="M13" t="s">
        <v>28</v>
      </c>
      <c r="N13" s="2">
        <v>24900</v>
      </c>
      <c r="O13" s="2">
        <v>38300</v>
      </c>
      <c r="P13" s="2">
        <v>63200</v>
      </c>
    </row>
    <row r="14" spans="1:18" x14ac:dyDescent="0.3">
      <c r="J14" t="s">
        <v>39</v>
      </c>
      <c r="K14" s="2">
        <v>223425</v>
      </c>
      <c r="M14" t="s">
        <v>29</v>
      </c>
      <c r="N14" s="2">
        <v>26000</v>
      </c>
      <c r="O14" s="2">
        <v>38250</v>
      </c>
      <c r="P14" s="2">
        <v>64250</v>
      </c>
    </row>
    <row r="15" spans="1:18" x14ac:dyDescent="0.3">
      <c r="M15" t="s">
        <v>30</v>
      </c>
      <c r="N15" s="2">
        <v>21300</v>
      </c>
      <c r="O15" s="2">
        <v>43000</v>
      </c>
      <c r="P15" s="2">
        <v>64300</v>
      </c>
    </row>
    <row r="16" spans="1:18" x14ac:dyDescent="0.3">
      <c r="M16" t="s">
        <v>31</v>
      </c>
      <c r="N16" s="2">
        <v>8000</v>
      </c>
      <c r="O16" s="2">
        <v>37000</v>
      </c>
      <c r="P16" s="2">
        <v>45000</v>
      </c>
    </row>
    <row r="17" spans="10:16" x14ac:dyDescent="0.3">
      <c r="M17" t="s">
        <v>32</v>
      </c>
      <c r="N17" s="2">
        <v>8500</v>
      </c>
      <c r="O17" s="2">
        <v>38000</v>
      </c>
      <c r="P17" s="2">
        <v>46500</v>
      </c>
    </row>
    <row r="18" spans="10:16" x14ac:dyDescent="0.3">
      <c r="M18" t="s">
        <v>39</v>
      </c>
      <c r="N18" s="2">
        <v>223425</v>
      </c>
      <c r="O18" s="2">
        <v>440450</v>
      </c>
      <c r="P18" s="2">
        <v>663875</v>
      </c>
    </row>
    <row r="20" spans="10:16" x14ac:dyDescent="0.3">
      <c r="M20" s="20" t="s">
        <v>2</v>
      </c>
      <c r="N20" t="s">
        <v>42</v>
      </c>
    </row>
    <row r="21" spans="10:16" x14ac:dyDescent="0.3">
      <c r="J21" s="20" t="s">
        <v>5</v>
      </c>
      <c r="K21" t="s">
        <v>9</v>
      </c>
    </row>
    <row r="22" spans="10:16" x14ac:dyDescent="0.3">
      <c r="M22" s="20" t="s">
        <v>40</v>
      </c>
    </row>
    <row r="23" spans="10:16" x14ac:dyDescent="0.3">
      <c r="J23" s="20" t="s">
        <v>47</v>
      </c>
      <c r="M23" s="20" t="s">
        <v>5</v>
      </c>
      <c r="N23" t="s">
        <v>41</v>
      </c>
    </row>
    <row r="24" spans="10:16" x14ac:dyDescent="0.3">
      <c r="J24" s="20" t="s">
        <v>4</v>
      </c>
      <c r="K24" t="s">
        <v>41</v>
      </c>
      <c r="M24" t="s">
        <v>15</v>
      </c>
      <c r="N24" s="2">
        <v>223425</v>
      </c>
    </row>
    <row r="25" spans="10:16" x14ac:dyDescent="0.3">
      <c r="J25" t="s">
        <v>8</v>
      </c>
      <c r="K25" s="2">
        <v>10950</v>
      </c>
      <c r="M25" t="s">
        <v>9</v>
      </c>
      <c r="N25" s="2">
        <v>440450</v>
      </c>
    </row>
    <row r="26" spans="10:16" x14ac:dyDescent="0.3">
      <c r="J26" t="s">
        <v>7</v>
      </c>
      <c r="K26" s="2">
        <v>429500</v>
      </c>
      <c r="M26" t="s">
        <v>39</v>
      </c>
      <c r="N26" s="2">
        <v>663875</v>
      </c>
    </row>
    <row r="27" spans="10:16" x14ac:dyDescent="0.3">
      <c r="J27" t="s">
        <v>39</v>
      </c>
      <c r="K27" s="2">
        <v>440450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BB0EE-AF46-46F3-BBE7-EA425772FF5B}">
  <dimension ref="A1:F11"/>
  <sheetViews>
    <sheetView workbookViewId="0">
      <selection activeCell="J11" sqref="J11"/>
    </sheetView>
  </sheetViews>
  <sheetFormatPr defaultRowHeight="14.4" x14ac:dyDescent="0.3"/>
  <cols>
    <col min="1" max="1" width="10.33203125" bestFit="1" customWidth="1"/>
    <col min="2" max="2" width="9" bestFit="1" customWidth="1"/>
    <col min="3" max="3" width="10.109375" bestFit="1" customWidth="1"/>
    <col min="4" max="4" width="12.6640625" bestFit="1" customWidth="1"/>
    <col min="5" max="5" width="10.77734375" bestFit="1" customWidth="1"/>
    <col min="6" max="6" width="9.6640625" bestFit="1" customWidth="1"/>
  </cols>
  <sheetData>
    <row r="1" spans="1:6" x14ac:dyDescent="0.3">
      <c r="A1" s="22" t="s">
        <v>46</v>
      </c>
    </row>
    <row r="3" spans="1:6" x14ac:dyDescent="0.3">
      <c r="A3" t="s">
        <v>1</v>
      </c>
      <c r="B3" t="s">
        <v>2</v>
      </c>
      <c r="C3" t="s">
        <v>3</v>
      </c>
      <c r="D3" t="s">
        <v>4</v>
      </c>
      <c r="E3" t="s">
        <v>5</v>
      </c>
      <c r="F3" t="s">
        <v>6</v>
      </c>
    </row>
    <row r="4" spans="1:6" x14ac:dyDescent="0.3">
      <c r="A4" s="1">
        <v>45869</v>
      </c>
      <c r="B4" t="s">
        <v>27</v>
      </c>
      <c r="C4">
        <v>1800</v>
      </c>
      <c r="D4" t="s">
        <v>10</v>
      </c>
      <c r="E4" t="s">
        <v>15</v>
      </c>
    </row>
    <row r="5" spans="1:6" x14ac:dyDescent="0.3">
      <c r="A5" s="1">
        <v>45867</v>
      </c>
      <c r="B5" t="s">
        <v>27</v>
      </c>
      <c r="C5">
        <v>2700</v>
      </c>
      <c r="D5" t="s">
        <v>10</v>
      </c>
      <c r="E5" t="s">
        <v>15</v>
      </c>
    </row>
    <row r="6" spans="1:6" x14ac:dyDescent="0.3">
      <c r="A6" s="1">
        <v>45860</v>
      </c>
      <c r="B6" t="s">
        <v>27</v>
      </c>
      <c r="C6">
        <v>2300</v>
      </c>
      <c r="D6" t="s">
        <v>12</v>
      </c>
      <c r="E6" t="s">
        <v>15</v>
      </c>
    </row>
    <row r="7" spans="1:6" x14ac:dyDescent="0.3">
      <c r="A7" s="1">
        <v>45860</v>
      </c>
      <c r="B7" t="s">
        <v>27</v>
      </c>
      <c r="C7">
        <v>3100</v>
      </c>
      <c r="D7" t="s">
        <v>10</v>
      </c>
      <c r="E7" t="s">
        <v>15</v>
      </c>
    </row>
    <row r="8" spans="1:6" x14ac:dyDescent="0.3">
      <c r="A8" s="1">
        <v>45856</v>
      </c>
      <c r="B8" t="s">
        <v>27</v>
      </c>
      <c r="C8">
        <v>3900</v>
      </c>
      <c r="D8" t="s">
        <v>14</v>
      </c>
      <c r="E8" t="s">
        <v>15</v>
      </c>
    </row>
    <row r="9" spans="1:6" x14ac:dyDescent="0.3">
      <c r="A9" s="1">
        <v>45851</v>
      </c>
      <c r="B9" t="s">
        <v>27</v>
      </c>
      <c r="C9">
        <v>2500</v>
      </c>
      <c r="D9" t="s">
        <v>16</v>
      </c>
      <c r="E9" t="s">
        <v>15</v>
      </c>
    </row>
    <row r="10" spans="1:6" x14ac:dyDescent="0.3">
      <c r="A10" s="1">
        <v>45848</v>
      </c>
      <c r="B10" t="s">
        <v>27</v>
      </c>
      <c r="C10">
        <v>700</v>
      </c>
      <c r="D10" t="s">
        <v>12</v>
      </c>
      <c r="E10" t="s">
        <v>15</v>
      </c>
    </row>
    <row r="11" spans="1:6" x14ac:dyDescent="0.3">
      <c r="A11" s="1">
        <v>45843</v>
      </c>
      <c r="B11" t="s">
        <v>27</v>
      </c>
      <c r="C11">
        <v>8200</v>
      </c>
      <c r="D11" t="s">
        <v>11</v>
      </c>
      <c r="E11"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Records</vt:lpstr>
      <vt:lpstr>Dashboard 2</vt:lpstr>
      <vt:lpstr>Dashboard</vt:lpstr>
      <vt:lpstr>Pivot</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ramesh</dc:creator>
  <cp:lastModifiedBy>sarath ramesh</cp:lastModifiedBy>
  <dcterms:created xsi:type="dcterms:W3CDTF">2026-02-22T14:06:39Z</dcterms:created>
  <dcterms:modified xsi:type="dcterms:W3CDTF">2026-03-01T10:01:43Z</dcterms:modified>
</cp:coreProperties>
</file>